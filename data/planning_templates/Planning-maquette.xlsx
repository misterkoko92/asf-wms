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showInkAnnotation="0" updateLinks="always" codeName="ThisWorkbook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EdouardGonnu/asf_scheduler/data/"/>
    </mc:Choice>
  </mc:AlternateContent>
  <xr:revisionPtr revIDLastSave="0" documentId="13_ncr:1_{1827E7B7-C474-5849-B58F-7F09AAD2600B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Planning SXX" sheetId="2" r:id="rId1"/>
    <sheet name="data" sheetId="3" r:id="rId2"/>
  </sheets>
  <definedNames>
    <definedName name="_xlnm.Print_Area" localSheetId="0">'Planning SXX'!$A$1:$Q$149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" i="3" l="1"/>
  <c r="H1" i="3"/>
  <c r="A148" i="2"/>
  <c r="A130" i="2"/>
  <c r="A127" i="2"/>
  <c r="A109" i="2"/>
  <c r="A106" i="2"/>
  <c r="A88" i="2"/>
  <c r="A85" i="2"/>
  <c r="A67" i="2"/>
  <c r="A64" i="2"/>
  <c r="A43" i="2"/>
  <c r="A46" i="2"/>
  <c r="A25" i="2"/>
  <c r="A138" i="2"/>
  <c r="A117" i="2"/>
  <c r="A96" i="2"/>
  <c r="A75" i="2"/>
  <c r="A54" i="2"/>
  <c r="A33" i="2"/>
  <c r="A12" i="2"/>
  <c r="A22" i="2"/>
  <c r="A4" i="2"/>
  <c r="B23" i="2" l="1"/>
  <c r="B44" i="2"/>
  <c r="B65" i="2"/>
  <c r="B86" i="2"/>
  <c r="B107" i="2"/>
  <c r="B128" i="2"/>
  <c r="B149" i="2"/>
  <c r="B148" i="2"/>
  <c r="B129" i="2"/>
  <c r="B108" i="2"/>
  <c r="B87" i="2"/>
  <c r="B66" i="2"/>
  <c r="B45" i="2"/>
  <c r="B24" i="2"/>
  <c r="B3" i="2"/>
  <c r="B4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30" i="2"/>
  <c r="N109" i="2"/>
  <c r="N88" i="2"/>
  <c r="N67" i="2"/>
  <c r="N46" i="2"/>
  <c r="H1" i="2"/>
  <c r="N25" i="2"/>
  <c r="N4" i="2"/>
  <c r="L149" i="2" l="1"/>
  <c r="C38" i="2"/>
  <c r="C30" i="2"/>
  <c r="C37" i="2"/>
  <c r="C29" i="2"/>
  <c r="C25" i="2"/>
  <c r="C36" i="2"/>
  <c r="C28" i="2"/>
  <c r="C43" i="2"/>
  <c r="C35" i="2"/>
  <c r="C27" i="2"/>
  <c r="C42" i="2"/>
  <c r="C34" i="2"/>
  <c r="C26" i="2"/>
  <c r="C41" i="2"/>
  <c r="C33" i="2"/>
  <c r="C40" i="2"/>
  <c r="C32" i="2"/>
  <c r="C39" i="2"/>
  <c r="C31" i="2"/>
  <c r="C50" i="2" l="1"/>
  <c r="C55" i="2"/>
  <c r="C63" i="2"/>
  <c r="C47" i="2"/>
  <c r="C56" i="2"/>
  <c r="C64" i="2"/>
  <c r="C48" i="2"/>
  <c r="C57" i="2"/>
  <c r="C46" i="2"/>
  <c r="C49" i="2"/>
  <c r="C58" i="2"/>
  <c r="C51" i="2"/>
  <c r="C59" i="2"/>
  <c r="C52" i="2"/>
  <c r="C60" i="2"/>
  <c r="C53" i="2"/>
  <c r="C61" i="2"/>
  <c r="C54" i="2"/>
  <c r="C62" i="2"/>
  <c r="K1" i="2" l="1"/>
  <c r="C74" i="2"/>
  <c r="C82" i="2"/>
  <c r="C68" i="2"/>
  <c r="C77" i="2"/>
  <c r="C67" i="2"/>
  <c r="C69" i="2"/>
  <c r="C78" i="2"/>
  <c r="C70" i="2"/>
  <c r="C79" i="2"/>
  <c r="C71" i="2"/>
  <c r="C80" i="2"/>
  <c r="C72" i="2"/>
  <c r="C81" i="2"/>
  <c r="C73" i="2"/>
  <c r="C83" i="2"/>
  <c r="C75" i="2"/>
  <c r="C84" i="2"/>
  <c r="C76" i="2"/>
  <c r="C85" i="2"/>
  <c r="C90" i="2" l="1"/>
  <c r="C98" i="2"/>
  <c r="C106" i="2"/>
  <c r="C89" i="2"/>
  <c r="C99" i="2"/>
  <c r="C91" i="2"/>
  <c r="C100" i="2"/>
  <c r="C92" i="2"/>
  <c r="C101" i="2"/>
  <c r="C93" i="2"/>
  <c r="C102" i="2"/>
  <c r="C94" i="2"/>
  <c r="C103" i="2"/>
  <c r="C95" i="2"/>
  <c r="C104" i="2"/>
  <c r="C96" i="2"/>
  <c r="C105" i="2"/>
  <c r="C97" i="2"/>
  <c r="C88" i="2"/>
  <c r="C114" i="2" l="1"/>
  <c r="C122" i="2"/>
  <c r="C115" i="2"/>
  <c r="C110" i="2"/>
  <c r="C120" i="2"/>
  <c r="C111" i="2"/>
  <c r="C121" i="2"/>
  <c r="C112" i="2"/>
  <c r="C123" i="2"/>
  <c r="C113" i="2"/>
  <c r="C124" i="2"/>
  <c r="C116" i="2"/>
  <c r="C125" i="2"/>
  <c r="C117" i="2"/>
  <c r="C126" i="2"/>
  <c r="C118" i="2"/>
  <c r="C127" i="2"/>
  <c r="C119" i="2"/>
  <c r="C109" i="2"/>
  <c r="C138" i="2" l="1"/>
  <c r="C146" i="2"/>
  <c r="C131" i="2"/>
  <c r="C139" i="2"/>
  <c r="C147" i="2"/>
  <c r="C132" i="2"/>
  <c r="C137" i="2"/>
  <c r="C140" i="2"/>
  <c r="C141" i="2"/>
  <c r="C142" i="2"/>
  <c r="C143" i="2"/>
  <c r="C133" i="2"/>
  <c r="C144" i="2"/>
  <c r="C134" i="2"/>
  <c r="C145" i="2"/>
  <c r="C135" i="2"/>
  <c r="C148" i="2"/>
  <c r="C136" i="2"/>
  <c r="C130" i="2"/>
</calcChain>
</file>

<file path=xl/sharedStrings.xml><?xml version="1.0" encoding="utf-8"?>
<sst xmlns="http://schemas.openxmlformats.org/spreadsheetml/2006/main" count="45" uniqueCount="23">
  <si>
    <t>SEMAINE n°</t>
  </si>
  <si>
    <t>MAJ :</t>
  </si>
  <si>
    <t xml:space="preserve">Par : </t>
  </si>
  <si>
    <t>E. GONNU</t>
  </si>
  <si>
    <t>Version</t>
  </si>
  <si>
    <t>DATE</t>
  </si>
  <si>
    <t>NOM</t>
  </si>
  <si>
    <t>OK</t>
  </si>
  <si>
    <t>DESTINATION</t>
  </si>
  <si>
    <t>IATA</t>
  </si>
  <si>
    <t>ROUTING</t>
  </si>
  <si>
    <t>EXPEDITEUR</t>
  </si>
  <si>
    <t>DESTINATAIRE</t>
  </si>
  <si>
    <t>TOTAL</t>
  </si>
  <si>
    <t>ITEM</t>
  </si>
  <si>
    <t>DATE LONGUE</t>
  </si>
  <si>
    <t>NUMERO
VOL</t>
  </si>
  <si>
    <t>HEURE
VOL</t>
  </si>
  <si>
    <t>NUMERO
BE</t>
  </si>
  <si>
    <t>NOMBRE
COLIS</t>
  </si>
  <si>
    <t>TYPE</t>
  </si>
  <si>
    <t>LIVRAISON
COLIS</t>
  </si>
  <si>
    <t>DATE
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</si>
</sst>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AF &quot;#"/>
    <numFmt numFmtId="165" formatCode="dd"/>
    <numFmt numFmtId="166" formatCode="mmmm"/>
    <numFmt numFmtId="167" formatCode="dddd\ dd\ mmmm"/>
    <numFmt numFmtId="168" formatCode="d/m/yy;@"/>
    <numFmt numFmtId="169" formatCode="d/m;@"/>
    <numFmt numFmtId="170" formatCode="&quot;250&quot;####"/>
  </numFmts>
  <fonts count="22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ptos"/>
    </font>
    <font>
      <b/>
      <sz val="12"/>
      <name val="Aptos"/>
    </font>
    <font>
      <b/>
      <sz val="12"/>
      <color indexed="10"/>
      <name val="Aptos"/>
    </font>
    <font>
      <b/>
      <sz val="12"/>
      <color rgb="FF000000"/>
      <name val="Aptos"/>
    </font>
    <font>
      <sz val="12"/>
      <name val="Aptos"/>
    </font>
    <font>
      <sz val="12"/>
      <color rgb="FFFF0000"/>
      <name val="Aptos"/>
    </font>
    <font>
      <b/>
      <sz val="12"/>
      <color theme="1"/>
      <name val="Aptos"/>
    </font>
    <font>
      <sz val="12"/>
      <color rgb="FF000000"/>
      <name val="Aptos"/>
    </font>
    <font>
      <b/>
      <sz val="12"/>
      <color rgb="FF00B050"/>
      <name val="Aptos"/>
    </font>
    <font>
      <sz val="12"/>
      <color indexed="10"/>
      <name val="Aptos"/>
    </font>
    <font>
      <sz val="14"/>
      <name val="Aptos"/>
    </font>
    <font>
      <sz val="14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hair">
        <color auto="1"/>
      </bottom>
      <diagonal/>
    </border>
    <border>
      <left/>
      <right style="medium">
        <color rgb="FF000000"/>
      </right>
      <top style="medium">
        <color rgb="FF000000"/>
      </top>
      <bottom style="hair">
        <color auto="1"/>
      </bottom>
      <diagonal/>
    </border>
    <border>
      <left style="thin">
        <color auto="1"/>
      </left>
      <right/>
      <top style="medium">
        <color rgb="FF000000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000000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hair">
        <color auto="1"/>
      </bottom>
      <diagonal/>
    </border>
    <border>
      <left/>
      <right style="thin">
        <color auto="1"/>
      </right>
      <top style="medium">
        <color rgb="FF000000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rgb="FF000000"/>
      </bottom>
      <diagonal/>
    </border>
    <border>
      <left/>
      <right style="thin">
        <color auto="1"/>
      </right>
      <top style="hair">
        <color auto="1"/>
      </top>
      <bottom style="medium">
        <color rgb="FF000000"/>
      </bottom>
      <diagonal/>
    </border>
    <border>
      <left style="thin">
        <color auto="1"/>
      </left>
      <right/>
      <top style="hair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rgb="FF000000"/>
      </bottom>
      <diagonal/>
    </border>
    <border>
      <left/>
      <right style="medium">
        <color rgb="FF000000"/>
      </right>
      <top style="hair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rgb="FF000000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theme="4" tint="0.39997558519241921"/>
      </left>
      <right/>
      <top style="hair">
        <color auto="1"/>
      </top>
      <bottom/>
      <diagonal/>
    </border>
  </borders>
  <cellStyleXfs count="96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96">
    <xf numFmtId="0" fontId="0" fillId="0" borderId="0" xfId="0"/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166" fontId="11" fillId="0" borderId="22" xfId="0" applyNumberFormat="1" applyFont="1" applyBorder="1" applyAlignment="1">
      <alignment horizontal="center" vertical="center" wrapText="1"/>
    </xf>
    <xf numFmtId="1" fontId="11" fillId="0" borderId="22" xfId="0" applyNumberFormat="1" applyFont="1" applyBorder="1" applyAlignment="1">
      <alignment horizontal="center" vertical="center" wrapText="1"/>
    </xf>
    <xf numFmtId="167" fontId="11" fillId="0" borderId="22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65" fontId="11" fillId="0" borderId="22" xfId="0" applyNumberFormat="1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14" fontId="10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68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9" fontId="18" fillId="0" borderId="26" xfId="0" applyNumberFormat="1" applyFont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9" fontId="18" fillId="0" borderId="33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64" fontId="14" fillId="0" borderId="21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1" fontId="15" fillId="0" borderId="37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9" fontId="18" fillId="0" borderId="39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70" fontId="20" fillId="0" borderId="9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70" fontId="20" fillId="0" borderId="19" xfId="0" applyNumberFormat="1" applyFont="1" applyBorder="1" applyAlignment="1">
      <alignment horizontal="center" vertical="center"/>
    </xf>
    <xf numFmtId="164" fontId="20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70" fontId="20" fillId="0" borderId="20" xfId="0" applyNumberFormat="1" applyFont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170" fontId="20" fillId="0" borderId="42" xfId="0" applyNumberFormat="1" applyFont="1" applyBorder="1" applyAlignment="1">
      <alignment horizontal="center" vertical="center"/>
    </xf>
    <xf numFmtId="1" fontId="21" fillId="0" borderId="41" xfId="0" applyNumberFormat="1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</cellXfs>
  <cellStyles count="964">
    <cellStyle name="Lien hypertexte" xfId="685" builtinId="8" hidden="1"/>
    <cellStyle name="Lien hypertexte" xfId="663" builtinId="8" hidden="1"/>
    <cellStyle name="Lien hypertexte" xfId="129" builtinId="8" hidden="1"/>
    <cellStyle name="Lien hypertexte" xfId="931" builtinId="8" hidden="1"/>
    <cellStyle name="Lien hypertexte" xfId="149" builtinId="8" hidden="1"/>
    <cellStyle name="Lien hypertexte" xfId="623" builtinId="8" hidden="1"/>
    <cellStyle name="Lien hypertexte" xfId="847" builtinId="8" hidden="1"/>
    <cellStyle name="Lien hypertexte" xfId="373" builtinId="8" hidden="1"/>
    <cellStyle name="Lien hypertexte" xfId="457" builtinId="8" hidden="1"/>
    <cellStyle name="Lien hypertexte" xfId="639" builtinId="8" hidden="1"/>
    <cellStyle name="Lien hypertexte" xfId="63" builtinId="8" hidden="1"/>
    <cellStyle name="Lien hypertexte" xfId="743" builtinId="8" hidden="1"/>
    <cellStyle name="Lien hypertexte" xfId="393" builtinId="8" hidden="1"/>
    <cellStyle name="Lien hypertexte" xfId="523" builtinId="8" hidden="1"/>
    <cellStyle name="Lien hypertexte" xfId="631" builtinId="8" hidden="1"/>
    <cellStyle name="Lien hypertexte" xfId="909" builtinId="8" hidden="1"/>
    <cellStyle name="Lien hypertexte" xfId="755" builtinId="8" hidden="1"/>
    <cellStyle name="Lien hypertexte" xfId="577" builtinId="8" hidden="1"/>
    <cellStyle name="Lien hypertexte" xfId="687" builtinId="8" hidden="1"/>
    <cellStyle name="Lien hypertexte" xfId="741" builtinId="8" hidden="1"/>
    <cellStyle name="Lien hypertexte" xfId="257" builtinId="8" hidden="1"/>
    <cellStyle name="Lien hypertexte" xfId="265" builtinId="8" hidden="1"/>
    <cellStyle name="Lien hypertexte" xfId="469" builtinId="8" hidden="1"/>
    <cellStyle name="Lien hypertexte" xfId="115" builtinId="8" hidden="1"/>
    <cellStyle name="Lien hypertexte" xfId="661" builtinId="8" hidden="1"/>
    <cellStyle name="Lien hypertexte" xfId="23" builtinId="8" hidden="1"/>
    <cellStyle name="Lien hypertexte" xfId="309" builtinId="8" hidden="1"/>
    <cellStyle name="Lien hypertexte" xfId="305" builtinId="8" hidden="1"/>
    <cellStyle name="Lien hypertexte" xfId="389" builtinId="8" hidden="1"/>
    <cellStyle name="Lien hypertexte" xfId="105" builtinId="8" hidden="1"/>
    <cellStyle name="Lien hypertexte" xfId="925" builtinId="8" hidden="1"/>
    <cellStyle name="Lien hypertexte" xfId="337" builtinId="8" hidden="1"/>
    <cellStyle name="Lien hypertexte" xfId="957" builtinId="8" hidden="1"/>
    <cellStyle name="Lien hypertexte" xfId="47" builtinId="8" hidden="1"/>
    <cellStyle name="Lien hypertexte" xfId="357" builtinId="8" hidden="1"/>
    <cellStyle name="Lien hypertexte" xfId="43" builtinId="8" hidden="1"/>
    <cellStyle name="Lien hypertexte" xfId="697" builtinId="8" hidden="1"/>
    <cellStyle name="Lien hypertexte" xfId="133" builtinId="8" hidden="1"/>
    <cellStyle name="Lien hypertexte" xfId="621" builtinId="8" hidden="1"/>
    <cellStyle name="Lien hypertexte" xfId="637" builtinId="8" hidden="1"/>
    <cellStyle name="Lien hypertexte" xfId="315" builtinId="8" hidden="1"/>
    <cellStyle name="Lien hypertexte" xfId="765" builtinId="8" hidden="1"/>
    <cellStyle name="Lien hypertexte" xfId="615" builtinId="8" hidden="1"/>
    <cellStyle name="Lien hypertexte" xfId="719" builtinId="8" hidden="1"/>
    <cellStyle name="Lien hypertexte" xfId="19" builtinId="8" hidden="1"/>
    <cellStyle name="Lien hypertexte" xfId="411" builtinId="8" hidden="1"/>
    <cellStyle name="Lien hypertexte" xfId="875" builtinId="8" hidden="1"/>
    <cellStyle name="Lien hypertexte" xfId="165" builtinId="8" hidden="1"/>
    <cellStyle name="Lien hypertexte" xfId="683" builtinId="8" hidden="1"/>
    <cellStyle name="Lien hypertexte" xfId="603" builtinId="8" hidden="1"/>
    <cellStyle name="Lien hypertexte" xfId="245" builtinId="8" hidden="1"/>
    <cellStyle name="Lien hypertexte" xfId="833" builtinId="8" hidden="1"/>
    <cellStyle name="Lien hypertexte" xfId="935" builtinId="8" hidden="1"/>
    <cellStyle name="Lien hypertexte" xfId="553" builtinId="8" hidden="1"/>
    <cellStyle name="Lien hypertexte" xfId="883" builtinId="8" hidden="1"/>
    <cellStyle name="Lien hypertexte" xfId="441" builtinId="8" hidden="1"/>
    <cellStyle name="Lien hypertexte" xfId="59" builtinId="8" hidden="1"/>
    <cellStyle name="Lien hypertexte" xfId="487" builtinId="8" hidden="1"/>
    <cellStyle name="Lien hypertexte" xfId="953" builtinId="8" hidden="1"/>
    <cellStyle name="Lien hypertexte" xfId="499" builtinId="8" hidden="1"/>
    <cellStyle name="Lien hypertexte" xfId="301" builtinId="8" hidden="1"/>
    <cellStyle name="Lien hypertexte" xfId="927" builtinId="8" hidden="1"/>
    <cellStyle name="Lien hypertexte" xfId="367" builtinId="8" hidden="1"/>
    <cellStyle name="Lien hypertexte" xfId="497" builtinId="8" hidden="1"/>
    <cellStyle name="Lien hypertexte" xfId="53" builtinId="8" hidden="1"/>
    <cellStyle name="Lien hypertexte" xfId="695" builtinId="8" hidden="1"/>
    <cellStyle name="Lien hypertexte" xfId="483" builtinId="8" hidden="1"/>
    <cellStyle name="Lien hypertexte" xfId="889" builtinId="8" hidden="1"/>
    <cellStyle name="Lien hypertexte" xfId="319" builtinId="8" hidden="1"/>
    <cellStyle name="Lien hypertexte" xfId="29" builtinId="8" hidden="1"/>
    <cellStyle name="Lien hypertexte" xfId="231" builtinId="8" hidden="1"/>
    <cellStyle name="Lien hypertexte" xfId="11" builtinId="8" hidden="1"/>
    <cellStyle name="Lien hypertexte" xfId="55" builtinId="8" hidden="1"/>
    <cellStyle name="Lien hypertexte" xfId="399" builtinId="8" hidden="1"/>
    <cellStyle name="Lien hypertexte" xfId="751" builtinId="8" hidden="1"/>
    <cellStyle name="Lien hypertexte" xfId="595" builtinId="8" hidden="1"/>
    <cellStyle name="Lien hypertexte" xfId="699" builtinId="8" hidden="1"/>
    <cellStyle name="Lien hypertexte" xfId="95" builtinId="8" hidden="1"/>
    <cellStyle name="Lien hypertexte" xfId="141" builtinId="8" hidden="1"/>
    <cellStyle name="Lien hypertexte" xfId="431" builtinId="8" hidden="1"/>
    <cellStyle name="Lien hypertexte" xfId="575" builtinId="8" hidden="1"/>
    <cellStyle name="Lien hypertexte" xfId="17" builtinId="8" hidden="1"/>
    <cellStyle name="Lien hypertexte" xfId="221" builtinId="8" hidden="1"/>
    <cellStyle name="Lien hypertexte" xfId="551" builtinId="8" hidden="1"/>
    <cellStyle name="Lien hypertexte" xfId="597" builtinId="8" hidden="1"/>
    <cellStyle name="Lien hypertexte" xfId="513" builtinId="8" hidden="1"/>
    <cellStyle name="Lien hypertexte" xfId="463" builtinId="8" hidden="1"/>
    <cellStyle name="Lien hypertexte" xfId="877" builtinId="8" hidden="1"/>
    <cellStyle name="Lien hypertexte" xfId="387" builtinId="8" hidden="1"/>
    <cellStyle name="Lien hypertexte" xfId="427" builtinId="8" hidden="1"/>
    <cellStyle name="Lien hypertexte" xfId="103" builtinId="8" hidden="1"/>
    <cellStyle name="Lien hypertexte" xfId="397" builtinId="8" hidden="1"/>
    <cellStyle name="Lien hypertexte" xfId="525" builtinId="8" hidden="1"/>
    <cellStyle name="Lien hypertexte" xfId="353" builtinId="8" hidden="1"/>
    <cellStyle name="Lien hypertexte" xfId="791" builtinId="8" hidden="1"/>
    <cellStyle name="Lien hypertexte" xfId="35" builtinId="8" hidden="1"/>
    <cellStyle name="Lien hypertexte" xfId="199" builtinId="8" hidden="1"/>
    <cellStyle name="Lien hypertexte" xfId="767" builtinId="8" hidden="1"/>
    <cellStyle name="Lien hypertexte" xfId="119" builtinId="8" hidden="1"/>
    <cellStyle name="Lien hypertexte" xfId="737" builtinId="8" hidden="1"/>
    <cellStyle name="Lien hypertexte" xfId="557" builtinId="8" hidden="1"/>
    <cellStyle name="Lien hypertexte" xfId="311" builtinId="8" hidden="1"/>
    <cellStyle name="Lien hypertexte" xfId="515" builtinId="8" hidden="1"/>
    <cellStyle name="Lien hypertexte" xfId="385" builtinId="8" hidden="1"/>
    <cellStyle name="Lien hypertexte" xfId="679" builtinId="8" hidden="1"/>
    <cellStyle name="Lien hypertexte" xfId="717" builtinId="8" hidden="1"/>
    <cellStyle name="Lien hypertexte" xfId="627" builtinId="8" hidden="1"/>
    <cellStyle name="Lien hypertexte" xfId="355" builtinId="8" hidden="1"/>
    <cellStyle name="Lien hypertexte" xfId="951" builtinId="8" hidden="1"/>
    <cellStyle name="Lien hypertexte" xfId="243" builtinId="8" hidden="1"/>
    <cellStyle name="Lien hypertexte" xfId="769" builtinId="8" hidden="1"/>
    <cellStyle name="Lien hypertexte" xfId="843" builtinId="8" hidden="1"/>
    <cellStyle name="Lien hypertexte" xfId="703" builtinId="8" hidden="1"/>
    <cellStyle name="Lien hypertexte" xfId="711" builtinId="8" hidden="1"/>
    <cellStyle name="Lien hypertexte" xfId="123" builtinId="8" hidden="1"/>
    <cellStyle name="Lien hypertexte" xfId="359" builtinId="8" hidden="1"/>
    <cellStyle name="Lien hypertexte" xfId="881" builtinId="8" hidden="1"/>
    <cellStyle name="Lien hypertexte" xfId="233" builtinId="8" hidden="1"/>
    <cellStyle name="Lien hypertexte" xfId="691" builtinId="8" hidden="1"/>
    <cellStyle name="Lien hypertexte" xfId="907" builtinId="8" hidden="1"/>
    <cellStyle name="Lien hypertexte" xfId="79" builtinId="8" hidden="1"/>
    <cellStyle name="Lien hypertexte" xfId="579" builtinId="8" hidden="1"/>
    <cellStyle name="Lien hypertexte" xfId="869" builtinId="8" hidden="1"/>
    <cellStyle name="Lien hypertexte" xfId="67" builtinId="8" hidden="1"/>
    <cellStyle name="Lien hypertexte" xfId="607" builtinId="8" hidden="1"/>
    <cellStyle name="Lien hypertexte" xfId="41" builtinId="8" hidden="1"/>
    <cellStyle name="Lien hypertexte" xfId="331" builtinId="8" hidden="1"/>
    <cellStyle name="Lien hypertexte" xfId="423" builtinId="8" hidden="1"/>
    <cellStyle name="Lien hypertexte" xfId="147" builtinId="8" hidden="1"/>
    <cellStyle name="Lien hypertexte" xfId="747" builtinId="8" hidden="1"/>
    <cellStyle name="Lien hypertexte" xfId="39" builtinId="8" hidden="1"/>
    <cellStyle name="Lien hypertexte" xfId="485" builtinId="8" hidden="1"/>
    <cellStyle name="Lien hypertexte" xfId="903" builtinId="8" hidden="1"/>
    <cellStyle name="Lien hypertexte" xfId="83" builtinId="8" hidden="1"/>
    <cellStyle name="Lien hypertexte" xfId="855" builtinId="8" hidden="1"/>
    <cellStyle name="Lien hypertexte" xfId="517" builtinId="8" hidden="1"/>
    <cellStyle name="Lien hypertexte" xfId="99" builtinId="8" hidden="1"/>
    <cellStyle name="Lien hypertexte" xfId="383" builtinId="8" hidden="1"/>
    <cellStyle name="Lien hypertexte" xfId="193" builtinId="8" hidden="1"/>
    <cellStyle name="Lien hypertexte" xfId="955" builtinId="8" hidden="1"/>
    <cellStyle name="Lien hypertexte" xfId="135" builtinId="8" hidden="1"/>
    <cellStyle name="Lien hypertexte" xfId="673" builtinId="8" hidden="1"/>
    <cellStyle name="Lien hypertexte" xfId="625" builtinId="8" hidden="1"/>
    <cellStyle name="Lien hypertexte" xfId="763" builtinId="8" hidden="1"/>
    <cellStyle name="Lien hypertexte" xfId="519" builtinId="8" hidden="1"/>
    <cellStyle name="Lien hypertexte" xfId="157" builtinId="8" hidden="1"/>
    <cellStyle name="Lien hypertexte" xfId="807" builtinId="8" hidden="1"/>
    <cellStyle name="Lien hypertexte" xfId="527" builtinId="8" hidden="1"/>
    <cellStyle name="Lien hypertexte" xfId="65" builtinId="8" hidden="1"/>
    <cellStyle name="Lien hypertexte" xfId="677" builtinId="8" hidden="1"/>
    <cellStyle name="Lien hypertexte" xfId="313" builtinId="8" hidden="1"/>
    <cellStyle name="Lien hypertexte" xfId="229" builtinId="8" hidden="1"/>
    <cellStyle name="Lien hypertexte" xfId="803" builtinId="8" hidden="1"/>
    <cellStyle name="Lien hypertexte" xfId="895" builtinId="8" hidden="1"/>
    <cellStyle name="Lien hypertexte" xfId="505" builtinId="8" hidden="1"/>
    <cellStyle name="Lien hypertexte" xfId="461" builtinId="8" hidden="1"/>
    <cellStyle name="Lien hypertexte" xfId="261" builtinId="8" hidden="1"/>
    <cellStyle name="Lien hypertexte" xfId="657" builtinId="8" hidden="1"/>
    <cellStyle name="Lien hypertexte" xfId="919" builtinId="8" hidden="1"/>
    <cellStyle name="Lien hypertexte" xfId="171" builtinId="8" hidden="1"/>
    <cellStyle name="Lien hypertexte" xfId="403" builtinId="8" hidden="1"/>
    <cellStyle name="Lien hypertexte" xfId="749" builtinId="8" hidden="1"/>
    <cellStyle name="Lien hypertexte" xfId="715" builtinId="8" hidden="1"/>
    <cellStyle name="Lien hypertexte" xfId="259" builtinId="8" hidden="1"/>
    <cellStyle name="Lien hypertexte" xfId="349" builtinId="8" hidden="1"/>
    <cellStyle name="Lien hypertexte" xfId="93" builtinId="8" hidden="1"/>
    <cellStyle name="Lien hypertexte" xfId="113" builtinId="8" hidden="1"/>
    <cellStyle name="Lien hypertexte" xfId="917" builtinId="8" hidden="1"/>
    <cellStyle name="Lien hypertexte" xfId="809" builtinId="8" hidden="1"/>
    <cellStyle name="Lien hypertexte" xfId="941" builtinId="8" hidden="1"/>
    <cellStyle name="Lien hypertexte" xfId="939" builtinId="8" hidden="1"/>
    <cellStyle name="Lien hypertexte" xfId="937" builtinId="8" hidden="1"/>
    <cellStyle name="Lien hypertexte" xfId="345" builtinId="8" hidden="1"/>
    <cellStyle name="Lien hypertexte" xfId="787" builtinId="8" hidden="1"/>
    <cellStyle name="Lien hypertexte" xfId="153" builtinId="8" hidden="1"/>
    <cellStyle name="Lien hypertexte" xfId="829" builtinId="8" hidden="1"/>
    <cellStyle name="Lien hypertexte" xfId="707" builtinId="8" hidden="1"/>
    <cellStyle name="Lien hypertexte" xfId="145" builtinId="8" hidden="1"/>
    <cellStyle name="Lien hypertexte" xfId="821" builtinId="8" hidden="1"/>
    <cellStyle name="Lien hypertexte" xfId="547" builtinId="8" hidden="1"/>
    <cellStyle name="Lien hypertexte" xfId="817" builtinId="8" hidden="1"/>
    <cellStyle name="Lien hypertexte" xfId="111" builtinId="8" hidden="1"/>
    <cellStyle name="Lien hypertexte" xfId="295" builtinId="8" hidden="1"/>
    <cellStyle name="Lien hypertexte" xfId="473" builtinId="8" hidden="1"/>
    <cellStyle name="Lien hypertexte" xfId="647" builtinId="8" hidden="1"/>
    <cellStyle name="Lien hypertexte" xfId="779" builtinId="8" hidden="1"/>
    <cellStyle name="Lien hypertexte" xfId="429" builtinId="8" hidden="1"/>
    <cellStyle name="Lien hypertexte" xfId="897" builtinId="8" hidden="1"/>
    <cellStyle name="Lien hypertexte" xfId="713" builtinId="8" hidden="1"/>
    <cellStyle name="Lien hypertexte" xfId="757" builtinId="8" hidden="1"/>
    <cellStyle name="Lien hypertexte" xfId="451" builtinId="8" hidden="1"/>
    <cellStyle name="Lien hypertexte" xfId="61" builtinId="8" hidden="1"/>
    <cellStyle name="Lien hypertexte" xfId="419" builtinId="8" hidden="1"/>
    <cellStyle name="Lien hypertexte" xfId="825" builtinId="8" hidden="1"/>
    <cellStyle name="Lien hypertexte" xfId="227" builtinId="8" hidden="1"/>
    <cellStyle name="Lien hypertexte" xfId="169" builtinId="8" hidden="1"/>
    <cellStyle name="Lien hypertexte" xfId="823" builtinId="8" hidden="1"/>
    <cellStyle name="Lien hypertexte" xfId="629" builtinId="8" hidden="1"/>
    <cellStyle name="Lien hypertexte" xfId="363" builtinId="8" hidden="1"/>
    <cellStyle name="Lien hypertexte" xfId="509" builtinId="8" hidden="1"/>
    <cellStyle name="Lien hypertexte" xfId="745" builtinId="8" hidden="1"/>
    <cellStyle name="Lien hypertexte" xfId="605" builtinId="8" hidden="1"/>
    <cellStyle name="Lien hypertexte" xfId="303" builtinId="8" hidden="1"/>
    <cellStyle name="Lien hypertexte" xfId="845" builtinId="8" hidden="1"/>
    <cellStyle name="Lien hypertexte" xfId="835" builtinId="8" hidden="1"/>
    <cellStyle name="Lien hypertexte" xfId="369" builtinId="8" hidden="1"/>
    <cellStyle name="Lien hypertexte" xfId="97" builtinId="8" hidden="1"/>
    <cellStyle name="Lien hypertexte" xfId="541" builtinId="8" hidden="1"/>
    <cellStyle name="Lien hypertexte" xfId="477" builtinId="8" hidden="1"/>
    <cellStyle name="Lien hypertexte" xfId="5" builtinId="8" hidden="1"/>
    <cellStyle name="Lien hypertexte" xfId="143" builtinId="8" hidden="1"/>
    <cellStyle name="Lien hypertexte" xfId="241" builtinId="8" hidden="1"/>
    <cellStyle name="Lien hypertexte" xfId="645" builtinId="8" hidden="1"/>
    <cellStyle name="Lien hypertexte" xfId="121" builtinId="8" hidden="1"/>
    <cellStyle name="Lien hypertexte" xfId="813" builtinId="8" hidden="1"/>
    <cellStyle name="Lien hypertexte" xfId="635" builtinId="8" hidden="1"/>
    <cellStyle name="Lien hypertexte" xfId="101" builtinId="8" hidden="1"/>
    <cellStyle name="Lien hypertexte" xfId="405" builtinId="8" hidden="1"/>
    <cellStyle name="Lien hypertexte" xfId="69" builtinId="8" hidden="1"/>
    <cellStyle name="Lien hypertexte" xfId="545" builtinId="8" hidden="1"/>
    <cellStyle name="Lien hypertexte" xfId="407" builtinId="8" hidden="1"/>
    <cellStyle name="Lien hypertexte" xfId="471" builtinId="8" hidden="1"/>
    <cellStyle name="Lien hypertexte" xfId="207" builtinId="8" hidden="1"/>
    <cellStyle name="Lien hypertexte" xfId="219" builtinId="8" hidden="1"/>
    <cellStyle name="Lien hypertexte" xfId="33" builtinId="8" hidden="1"/>
    <cellStyle name="Lien hypertexte" xfId="409" builtinId="8" hidden="1"/>
    <cellStyle name="Lien hypertexte" xfId="911" builtinId="8" hidden="1"/>
    <cellStyle name="Lien hypertexte" xfId="425" builtinId="8" hidden="1"/>
    <cellStyle name="Lien hypertexte" xfId="325" builtinId="8" hidden="1"/>
    <cellStyle name="Lien hypertexte" xfId="537" builtinId="8" hidden="1"/>
    <cellStyle name="Lien hypertexte" xfId="275" builtinId="8" hidden="1"/>
    <cellStyle name="Lien hypertexte" xfId="581" builtinId="8" hidden="1"/>
    <cellStyle name="Lien hypertexte" xfId="299" builtinId="8" hidden="1"/>
    <cellStyle name="Lien hypertexte" xfId="445" builtinId="8" hidden="1"/>
    <cellStyle name="Lien hypertexte" xfId="693" builtinId="8" hidden="1"/>
    <cellStyle name="Lien hypertexte" xfId="203" builtinId="8" hidden="1"/>
    <cellStyle name="Lien hypertexte" xfId="291" builtinId="8" hidden="1"/>
    <cellStyle name="Lien hypertexte" xfId="339" builtinId="8" hidden="1"/>
    <cellStyle name="Lien hypertexte" xfId="591" builtinId="8" hidden="1"/>
    <cellStyle name="Lien hypertexte" xfId="731" builtinId="8" hidden="1"/>
    <cellStyle name="Lien hypertexte" xfId="155" builtinId="8" hidden="1"/>
    <cellStyle name="Lien hypertexte" xfId="421" builtinId="8" hidden="1"/>
    <cellStyle name="Lien hypertexte" xfId="533" builtinId="8" hidden="1"/>
    <cellStyle name="Lien hypertexte" xfId="831" builtinId="8" hidden="1"/>
    <cellStyle name="Lien hypertexte" xfId="413" builtinId="8" hidden="1"/>
    <cellStyle name="Lien hypertexte" xfId="87" builtinId="8" hidden="1"/>
    <cellStyle name="Lien hypertexte" xfId="341" builtinId="8" hidden="1"/>
    <cellStyle name="Lien hypertexte" xfId="859" builtinId="8" hidden="1"/>
    <cellStyle name="Lien hypertexte" xfId="327" builtinId="8" hidden="1"/>
    <cellStyle name="Lien hypertexte" xfId="21" builtinId="8" hidden="1"/>
    <cellStyle name="Lien hypertexte" xfId="57" builtinId="8" hidden="1"/>
    <cellStyle name="Lien hypertexte" xfId="181" builtinId="8" hidden="1"/>
    <cellStyle name="Lien hypertexte" xfId="137" builtinId="8" hidden="1"/>
    <cellStyle name="Lien hypertexte" xfId="725" builtinId="8" hidden="1"/>
    <cellStyle name="Lien hypertexte" xfId="417" builtinId="8" hidden="1"/>
    <cellStyle name="Lien hypertexte" xfId="563" builtinId="8" hidden="1"/>
    <cellStyle name="Lien hypertexte" xfId="85" builtinId="8" hidden="1"/>
    <cellStyle name="Lien hypertexte" xfId="789" builtinId="8" hidden="1"/>
    <cellStyle name="Lien hypertexte" xfId="885" builtinId="8" hidden="1"/>
    <cellStyle name="Lien hypertexte" xfId="761" builtinId="8" hidden="1"/>
    <cellStyle name="Lien hypertexte" xfId="961" builtinId="8" hidden="1"/>
    <cellStyle name="Lien hypertexte" xfId="317" builtinId="8" hidden="1"/>
    <cellStyle name="Lien hypertexte" xfId="785" builtinId="8" hidden="1"/>
    <cellStyle name="Lien hypertexte" xfId="283" builtinId="8" hidden="1"/>
    <cellStyle name="Lien hypertexte" xfId="269" builtinId="8" hidden="1"/>
    <cellStyle name="Lien hypertexte" xfId="839" builtinId="8" hidden="1"/>
    <cellStyle name="Lien hypertexte" xfId="361" builtinId="8" hidden="1"/>
    <cellStyle name="Lien hypertexte" xfId="565" builtinId="8" hidden="1"/>
    <cellStyle name="Lien hypertexte" xfId="933" builtinId="8" hidden="1"/>
    <cellStyle name="Lien hypertexte" xfId="197" builtinId="8" hidden="1"/>
    <cellStyle name="Lien hypertexte" xfId="195" builtinId="8" hidden="1"/>
    <cellStyle name="Lien hypertexte" xfId="915" builtinId="8" hidden="1"/>
    <cellStyle name="Lien hypertexte" xfId="289" builtinId="8" hidden="1"/>
    <cellStyle name="Lien hypertexte" xfId="255" builtinId="8" hidden="1"/>
    <cellStyle name="Lien hypertexte" xfId="167" builtinId="8" hidden="1"/>
    <cellStyle name="Lien hypertexte" xfId="447" builtinId="8" hidden="1"/>
    <cellStyle name="Lien hypertexte" xfId="655" builtinId="8" hidden="1"/>
    <cellStyle name="Lien hypertexte" xfId="871" builtinId="8" hidden="1"/>
    <cellStyle name="Lien hypertexte" xfId="617" builtinId="8" hidden="1"/>
    <cellStyle name="Lien hypertexte" xfId="491" builtinId="8" hidden="1"/>
    <cellStyle name="Lien hypertexte" xfId="501" builtinId="8" hidden="1"/>
    <cellStyle name="Lien hypertexte" xfId="921" builtinId="8" hidden="1"/>
    <cellStyle name="Lien hypertexte" xfId="795" builtinId="8" hidden="1"/>
    <cellStyle name="Lien hypertexte" xfId="799" builtinId="8" hidden="1"/>
    <cellStyle name="Lien hypertexte" xfId="91" builtinId="8" hidden="1"/>
    <cellStyle name="Lien hypertexte" xfId="377" builtinId="8" hidden="1"/>
    <cellStyle name="Lien hypertexte" xfId="801" builtinId="8" hidden="1"/>
    <cellStyle name="Lien hypertexte" xfId="415" builtinId="8" hidden="1"/>
    <cellStyle name="Lien hypertexte" xfId="139" builtinId="8" hidden="1"/>
    <cellStyle name="Lien hypertexte" xfId="75" builtinId="8" hidden="1"/>
    <cellStyle name="Lien hypertexte" xfId="277" builtinId="8" hidden="1"/>
    <cellStyle name="Lien hypertexte" xfId="15" builtinId="8" hidden="1"/>
    <cellStyle name="Lien hypertexte" xfId="529" builtinId="8" hidden="1"/>
    <cellStyle name="Lien hypertexte" xfId="773" builtinId="8" hidden="1"/>
    <cellStyle name="Lien hypertexte" xfId="251" builtinId="8" hidden="1"/>
    <cellStyle name="Lien hypertexte" xfId="109" builtinId="8" hidden="1"/>
    <cellStyle name="Lien hypertexte" xfId="723" builtinId="8" hidden="1"/>
    <cellStyle name="Lien hypertexte" xfId="267" builtinId="8" hidden="1"/>
    <cellStyle name="Lien hypertexte" xfId="849" builtinId="8" hidden="1"/>
    <cellStyle name="Lien hypertexte" xfId="653" builtinId="8" hidden="1"/>
    <cellStyle name="Lien hypertexte" xfId="107" builtinId="8" hidden="1"/>
    <cellStyle name="Lien hypertexte" xfId="781" builtinId="8" hidden="1"/>
    <cellStyle name="Lien hypertexte" xfId="555" builtinId="8" hidden="1"/>
    <cellStyle name="Lien hypertexte" xfId="263" builtinId="8" hidden="1"/>
    <cellStyle name="Lien hypertexte" xfId="609" builtinId="8" hidden="1"/>
    <cellStyle name="Lien hypertexte" xfId="281" builtinId="8" hidden="1"/>
    <cellStyle name="Lien hypertexte" xfId="913" builtinId="8" hidden="1"/>
    <cellStyle name="Lien hypertexte" xfId="571" builtinId="8" hidden="1"/>
    <cellStyle name="Lien hypertexte" xfId="467" builtinId="8" hidden="1"/>
    <cellStyle name="Lien hypertexte" xfId="535" builtinId="8" hidden="1"/>
    <cellStyle name="Lien hypertexte" xfId="223" builtinId="8" hidden="1"/>
    <cellStyle name="Lien hypertexte" xfId="727" builtinId="8" hidden="1"/>
    <cellStyle name="Lien hypertexte" xfId="45" builtinId="8" hidden="1"/>
    <cellStyle name="Lien hypertexte" xfId="173" builtinId="8" hidden="1"/>
    <cellStyle name="Lien hypertexte" xfId="599" builtinId="8" hidden="1"/>
    <cellStyle name="Lien hypertexte" xfId="669" builtinId="8" hidden="1"/>
    <cellStyle name="Lien hypertexte" xfId="619" builtinId="8" hidden="1"/>
    <cellStyle name="Lien hypertexte" xfId="759" builtinId="8" hidden="1"/>
    <cellStyle name="Lien hypertexte" xfId="857" builtinId="8" hidden="1"/>
    <cellStyle name="Lien hypertexte" xfId="433" builtinId="8" hidden="1"/>
    <cellStyle name="Lien hypertexte" xfId="929" builtinId="8" hidden="1"/>
    <cellStyle name="Lien hypertexte" xfId="587" builtinId="8" hidden="1"/>
    <cellStyle name="Lien hypertexte" xfId="681" builtinId="8" hidden="1"/>
    <cellStyle name="Lien hypertexte" xfId="239" builtinId="8" hidden="1"/>
    <cellStyle name="Lien hypertexte" xfId="739" builtinId="8" hidden="1"/>
    <cellStyle name="Lien hypertexte" xfId="31" builtinId="8" hidden="1"/>
    <cellStyle name="Lien hypertexte" xfId="71" builtinId="8" hidden="1"/>
    <cellStyle name="Lien hypertexte" xfId="659" builtinId="8" hidden="1"/>
    <cellStyle name="Lien hypertexte" xfId="73" builtinId="8" hidden="1"/>
    <cellStyle name="Lien hypertexte" xfId="945" builtinId="8" hidden="1"/>
    <cellStyle name="Lien hypertexte" xfId="649" builtinId="8" hidden="1"/>
    <cellStyle name="Lien hypertexte" xfId="887" builtinId="8" hidden="1"/>
    <cellStyle name="Lien hypertexte" xfId="901" builtinId="8" hidden="1"/>
    <cellStyle name="Lien hypertexte" xfId="371" builtinId="8" hidden="1"/>
    <cellStyle name="Lien hypertexte" xfId="633" builtinId="8" hidden="1"/>
    <cellStyle name="Lien hypertexte" xfId="775" builtinId="8" hidden="1"/>
    <cellStyle name="Lien hypertexte" xfId="379" builtinId="8" hidden="1"/>
    <cellStyle name="Lien hypertexte" xfId="851" builtinId="8" hidden="1"/>
    <cellStyle name="Lien hypertexte" xfId="37" builtinId="8" hidden="1"/>
    <cellStyle name="Lien hypertexte" xfId="131" builtinId="8" hidden="1"/>
    <cellStyle name="Lien hypertexte" xfId="163" builtinId="8" hidden="1"/>
    <cellStyle name="Lien hypertexte" xfId="449" builtinId="8" hidden="1"/>
    <cellStyle name="Lien hypertexte" xfId="689" builtinId="8" hidden="1"/>
    <cellStyle name="Lien hypertexte" xfId="837" builtinId="8" hidden="1"/>
    <cellStyle name="Lien hypertexte" xfId="187" builtinId="8" hidden="1"/>
    <cellStyle name="Lien hypertexte" xfId="323" builtinId="8" hidden="1"/>
    <cellStyle name="Lien hypertexte" xfId="25" builtinId="8" hidden="1"/>
    <cellStyle name="Lien hypertexte" xfId="947" builtinId="8" hidden="1"/>
    <cellStyle name="Lien hypertexte" xfId="539" builtinId="8" hidden="1"/>
    <cellStyle name="Lien hypertexte" xfId="375" builtinId="8" hidden="1"/>
    <cellStyle name="Lien hypertexte" xfId="9" builtinId="8" hidden="1"/>
    <cellStyle name="Lien hypertexte" xfId="205" builtinId="8" hidden="1"/>
    <cellStyle name="Lien hypertexte" xfId="211" builtinId="8" hidden="1"/>
    <cellStyle name="Lien hypertexte" xfId="701" builtinId="8" hidden="1"/>
    <cellStyle name="Lien hypertexte" xfId="721" builtinId="8" hidden="1"/>
    <cellStyle name="Lien hypertexte" xfId="161" builtinId="8" hidden="1"/>
    <cellStyle name="Lien hypertexte" xfId="561" builtinId="8" hidden="1"/>
    <cellStyle name="Lien hypertexte" xfId="175" builtinId="8" hidden="1"/>
    <cellStyle name="Lien hypertexte" xfId="481" builtinId="8" hidden="1"/>
    <cellStyle name="Lien hypertexte" xfId="651" builtinId="8" hidden="1"/>
    <cellStyle name="Lien hypertexte" xfId="531" builtinId="8" hidden="1"/>
    <cellStyle name="Lien hypertexte" xfId="437" builtinId="8" hidden="1"/>
    <cellStyle name="Lien hypertexte" xfId="215" builtinId="8" hidden="1"/>
    <cellStyle name="Lien hypertexte" xfId="705" builtinId="8" hidden="1"/>
    <cellStyle name="Lien hypertexte" xfId="511" builtinId="8" hidden="1"/>
    <cellStyle name="Lien hypertexte" xfId="335" builtinId="8" hidden="1"/>
    <cellStyle name="Lien hypertexte" xfId="503" builtinId="8" hidden="1"/>
    <cellStyle name="Lien hypertexte" xfId="253" builtinId="8" hidden="1"/>
    <cellStyle name="Lien hypertexte" xfId="297" builtinId="8" hidden="1"/>
    <cellStyle name="Lien hypertexte" xfId="543" builtinId="8" hidden="1"/>
    <cellStyle name="Lien hypertexte" xfId="455" builtinId="8" hidden="1"/>
    <cellStyle name="Lien hypertexte" xfId="321" builtinId="8" hidden="1"/>
    <cellStyle name="Lien hypertexte" xfId="753" builtinId="8" hidden="1"/>
    <cellStyle name="Lien hypertexte" xfId="793" builtinId="8" hidden="1"/>
    <cellStyle name="Lien hypertexte" xfId="189" builtinId="8" hidden="1"/>
    <cellStyle name="Lien hypertexte" xfId="237" builtinId="8" hidden="1"/>
    <cellStyle name="Lien hypertexte" xfId="735" builtinId="8" hidden="1"/>
    <cellStyle name="Lien hypertexte" xfId="453" builtinId="8" hidden="1"/>
    <cellStyle name="Lien hypertexte" xfId="117" builtinId="8" hidden="1"/>
    <cellStyle name="Lien hypertexte" xfId="583" builtinId="8" hidden="1"/>
    <cellStyle name="Lien hypertexte" xfId="209" builtinId="8" hidden="1"/>
    <cellStyle name="Lien hypertexte" xfId="333" builtinId="8" hidden="1"/>
    <cellStyle name="Lien hypertexte" xfId="465" builtinId="8" hidden="1"/>
    <cellStyle name="Lien hypertexte" xfId="827" builtinId="8" hidden="1"/>
    <cellStyle name="Lien hypertexte" xfId="201" builtinId="8" hidden="1"/>
    <cellStyle name="Lien hypertexte" xfId="279" builtinId="8" hidden="1"/>
    <cellStyle name="Lien hypertexte" xfId="585" builtinId="8" hidden="1"/>
    <cellStyle name="Lien hypertexte" xfId="13" builtinId="8" hidden="1"/>
    <cellStyle name="Lien hypertexte" xfId="567" builtinId="8" hidden="1"/>
    <cellStyle name="Lien hypertexte" xfId="81" builtinId="8" hidden="1"/>
    <cellStyle name="Lien hypertexte" xfId="733" builtinId="8" hidden="1"/>
    <cellStyle name="Lien hypertexte" xfId="891" builtinId="8" hidden="1"/>
    <cellStyle name="Lien hypertexte" xfId="671" builtinId="8" hidden="1"/>
    <cellStyle name="Lien hypertexte" xfId="899" builtinId="8" hidden="1"/>
    <cellStyle name="Lien hypertexte" xfId="783" builtinId="8" hidden="1"/>
    <cellStyle name="Lien hypertexte" xfId="293" builtinId="8" hidden="1"/>
    <cellStyle name="Lien hypertexte" xfId="151" builtinId="8" hidden="1"/>
    <cellStyle name="Lien hypertexte" xfId="435" builtinId="8" hidden="1"/>
    <cellStyle name="Lien hypertexte" xfId="307" builtinId="8" hidden="1"/>
    <cellStyle name="Lien hypertexte" xfId="507" builtinId="8" hidden="1"/>
    <cellStyle name="Lien hypertexte" xfId="853" builtinId="8" hidden="1"/>
    <cellStyle name="Lien hypertexte" xfId="559" builtinId="8" hidden="1"/>
    <cellStyle name="Lien hypertexte" xfId="329" builtinId="8" hidden="1"/>
    <cellStyle name="Lien hypertexte" xfId="381" builtinId="8" hidden="1"/>
    <cellStyle name="Lien hypertexte" xfId="401" builtinId="8" hidden="1"/>
    <cellStyle name="Lien hypertexte" xfId="439" builtinId="8" hidden="1"/>
    <cellStyle name="Lien hypertexte" xfId="1" builtinId="8" hidden="1"/>
    <cellStyle name="Lien hypertexte" xfId="489" builtinId="8" hidden="1"/>
    <cellStyle name="Lien hypertexte" xfId="709" builtinId="8" hidden="1"/>
    <cellStyle name="Lien hypertexte" xfId="495" builtinId="8" hidden="1"/>
    <cellStyle name="Lien hypertexte" xfId="49" builtinId="8" hidden="1"/>
    <cellStyle name="Lien hypertexte" xfId="287" builtinId="8" hidden="1"/>
    <cellStyle name="Lien hypertexte" xfId="569" builtinId="8" hidden="1"/>
    <cellStyle name="Lien hypertexte" xfId="867" builtinId="8" hidden="1"/>
    <cellStyle name="Lien hypertexte" xfId="777" builtinId="8" hidden="1"/>
    <cellStyle name="Lien hypertexte" xfId="643" builtinId="8" hidden="1"/>
    <cellStyle name="Lien hypertexte" xfId="861" builtinId="8" hidden="1"/>
    <cellStyle name="Lien hypertexte" xfId="7" builtinId="8" hidden="1"/>
    <cellStyle name="Lien hypertexte" xfId="841" builtinId="8" hidden="1"/>
    <cellStyle name="Lien hypertexte" xfId="805" builtinId="8" hidden="1"/>
    <cellStyle name="Lien hypertexte" xfId="611" builtinId="8" hidden="1"/>
    <cellStyle name="Lien hypertexte" xfId="819" builtinId="8" hidden="1"/>
    <cellStyle name="Lien hypertexte" xfId="573" builtinId="8" hidden="1"/>
    <cellStyle name="Lien hypertexte" xfId="225" builtinId="8" hidden="1"/>
    <cellStyle name="Lien hypertexte" xfId="77" builtinId="8" hidden="1"/>
    <cellStyle name="Lien hypertexte" xfId="667" builtinId="8" hidden="1"/>
    <cellStyle name="Lien hypertexte" xfId="873" builtinId="8" hidden="1"/>
    <cellStyle name="Lien hypertexte" xfId="863" builtinId="8" hidden="1"/>
    <cellStyle name="Lien hypertexte" xfId="185" builtinId="8" hidden="1"/>
    <cellStyle name="Lien hypertexte" xfId="549" builtinId="8" hidden="1"/>
    <cellStyle name="Lien hypertexte" xfId="247" builtinId="8" hidden="1"/>
    <cellStyle name="Lien hypertexte" xfId="729" builtinId="8" hidden="1"/>
    <cellStyle name="Lien hypertexte" xfId="879" builtinId="8" hidden="1"/>
    <cellStyle name="Lien hypertexte" xfId="593" builtinId="8" hidden="1"/>
    <cellStyle name="Lien hypertexte" xfId="811" builtinId="8" hidden="1"/>
    <cellStyle name="Lien hypertexte" xfId="395" builtinId="8" hidden="1"/>
    <cellStyle name="Lien hypertexte" xfId="127" builtinId="8" hidden="1"/>
    <cellStyle name="Lien hypertexte" xfId="3" builtinId="8" hidden="1"/>
    <cellStyle name="Lien hypertexte" xfId="391" builtinId="8" hidden="1"/>
    <cellStyle name="Lien hypertexte" xfId="343" builtinId="8" hidden="1"/>
    <cellStyle name="Lien hypertexte" xfId="249" builtinId="8" hidden="1"/>
    <cellStyle name="Lien hypertexte" xfId="771" builtinId="8" hidden="1"/>
    <cellStyle name="Lien hypertexte" xfId="815" builtinId="8" hidden="1"/>
    <cellStyle name="Lien hypertexte" xfId="905" builtinId="8" hidden="1"/>
    <cellStyle name="Lien hypertexte" xfId="365" builtinId="8" hidden="1"/>
    <cellStyle name="Lien hypertexte" xfId="89" builtinId="8" hidden="1"/>
    <cellStyle name="Lien hypertexte" xfId="159" builtinId="8" hidden="1"/>
    <cellStyle name="Lien hypertexte" xfId="797" builtinId="8" hidden="1"/>
    <cellStyle name="Lien hypertexte" xfId="347" builtinId="8" hidden="1"/>
    <cellStyle name="Lien hypertexte" xfId="943" builtinId="8" hidden="1"/>
    <cellStyle name="Lien hypertexte" xfId="641" builtinId="8" hidden="1"/>
    <cellStyle name="Lien hypertexte" xfId="183" builtinId="8" hidden="1"/>
    <cellStyle name="Lien hypertexte" xfId="893" builtinId="8" hidden="1"/>
    <cellStyle name="Lien hypertexte" xfId="27" builtinId="8" hidden="1"/>
    <cellStyle name="Lien hypertexte" xfId="271" builtinId="8" hidden="1"/>
    <cellStyle name="Lien hypertexte" xfId="959" builtinId="8" hidden="1"/>
    <cellStyle name="Lien hypertexte" xfId="213" builtinId="8" hidden="1"/>
    <cellStyle name="Lien hypertexte" xfId="443" builtinId="8" hidden="1"/>
    <cellStyle name="Lien hypertexte" xfId="125" builtinId="8" hidden="1"/>
    <cellStyle name="Lien hypertexte" xfId="191" builtinId="8" hidden="1"/>
    <cellStyle name="Lien hypertexte" xfId="217" builtinId="8" hidden="1"/>
    <cellStyle name="Lien hypertexte" xfId="675" builtinId="8" hidden="1"/>
    <cellStyle name="Lien hypertexte" xfId="235" builtinId="8" hidden="1"/>
    <cellStyle name="Lien hypertexte" xfId="949" builtinId="8" hidden="1"/>
    <cellStyle name="Lien hypertexte" xfId="51" builtinId="8" hidden="1"/>
    <cellStyle name="Lien hypertexte" xfId="285" builtinId="8" hidden="1"/>
    <cellStyle name="Lien hypertexte" xfId="351" builtinId="8" hidden="1"/>
    <cellStyle name="Lien hypertexte" xfId="923" builtinId="8" hidden="1"/>
    <cellStyle name="Lien hypertexte" xfId="589" builtinId="8" hidden="1"/>
    <cellStyle name="Lien hypertexte" xfId="613" builtinId="8" hidden="1"/>
    <cellStyle name="Lien hypertexte" xfId="273" builtinId="8" hidden="1"/>
    <cellStyle name="Lien hypertexte" xfId="865" builtinId="8" hidden="1"/>
    <cellStyle name="Lien hypertexte" xfId="459" builtinId="8" hidden="1"/>
    <cellStyle name="Lien hypertexte" xfId="475" builtinId="8" hidden="1"/>
    <cellStyle name="Lien hypertexte" xfId="521" builtinId="8" hidden="1"/>
    <cellStyle name="Lien hypertexte" xfId="177" builtinId="8" hidden="1"/>
    <cellStyle name="Lien hypertexte" xfId="479" builtinId="8" hidden="1"/>
    <cellStyle name="Lien hypertexte" xfId="665" builtinId="8" hidden="1"/>
    <cellStyle name="Lien hypertexte" xfId="179" builtinId="8" hidden="1"/>
    <cellStyle name="Lien hypertexte" xfId="601" builtinId="8" hidden="1"/>
    <cellStyle name="Lien hypertexte" xfId="493" builtinId="8" hidden="1"/>
    <cellStyle name="Lien hypertexte visité" xfId="626" builtinId="9" hidden="1"/>
    <cellStyle name="Lien hypertexte visité" xfId="190" builtinId="9" hidden="1"/>
    <cellStyle name="Lien hypertexte visité" xfId="274" builtinId="9" hidden="1"/>
    <cellStyle name="Lien hypertexte visité" xfId="864" builtinId="9" hidden="1"/>
    <cellStyle name="Lien hypertexte visité" xfId="514" builtinId="9" hidden="1"/>
    <cellStyle name="Lien hypertexte visité" xfId="640" builtinId="9" hidden="1"/>
    <cellStyle name="Lien hypertexte visité" xfId="194" builtinId="9" hidden="1"/>
    <cellStyle name="Lien hypertexte visité" xfId="112" builtinId="9" hidden="1"/>
    <cellStyle name="Lien hypertexte visité" xfId="142" builtinId="9" hidden="1"/>
    <cellStyle name="Lien hypertexte visité" xfId="424" builtinId="9" hidden="1"/>
    <cellStyle name="Lien hypertexte visité" xfId="240" builtinId="9" hidden="1"/>
    <cellStyle name="Lien hypertexte visité" xfId="914" builtinId="9" hidden="1"/>
    <cellStyle name="Lien hypertexte visité" xfId="570" builtinId="9" hidden="1"/>
    <cellStyle name="Lien hypertexte visité" xfId="462" builtinId="9" hidden="1"/>
    <cellStyle name="Lien hypertexte visité" xfId="876" builtinId="9" hidden="1"/>
    <cellStyle name="Lien hypertexte visité" xfId="528" builtinId="9" hidden="1"/>
    <cellStyle name="Lien hypertexte visité" xfId="634" builtinId="9" hidden="1"/>
    <cellStyle name="Lien hypertexte visité" xfId="856" builtinId="9" hidden="1"/>
    <cellStyle name="Lien hypertexte visité" xfId="32" builtinId="9" hidden="1"/>
    <cellStyle name="Lien hypertexte visité" xfId="760" builtinId="9" hidden="1"/>
    <cellStyle name="Lien hypertexte visité" xfId="296" builtinId="9" hidden="1"/>
    <cellStyle name="Lien hypertexte visité" xfId="92" builtinId="9" hidden="1"/>
    <cellStyle name="Lien hypertexte visité" xfId="456" builtinId="9" hidden="1"/>
    <cellStyle name="Lien hypertexte visité" xfId="754" builtinId="9" hidden="1"/>
    <cellStyle name="Lien hypertexte visité" xfId="586" builtinId="9" hidden="1"/>
    <cellStyle name="Lien hypertexte visité" xfId="642" builtinId="9" hidden="1"/>
    <cellStyle name="Lien hypertexte visité" xfId="716" builtinId="9" hidden="1"/>
    <cellStyle name="Lien hypertexte visité" xfId="44" builtinId="9" hidden="1"/>
    <cellStyle name="Lien hypertexte visité" xfId="140" builtinId="9" hidden="1"/>
    <cellStyle name="Lien hypertexte visité" xfId="420" builtinId="9" hidden="1"/>
    <cellStyle name="Lien hypertexte visité" xfId="410" builtinId="9" hidden="1"/>
    <cellStyle name="Lien hypertexte visité" xfId="320" builtinId="9" hidden="1"/>
    <cellStyle name="Lien hypertexte visité" xfId="500" builtinId="9" hidden="1"/>
    <cellStyle name="Lien hypertexte visité" xfId="912" builtinId="9" hidden="1"/>
    <cellStyle name="Lien hypertexte visité" xfId="398" builtinId="9" hidden="1"/>
    <cellStyle name="Lien hypertexte visité" xfId="328" builtinId="9" hidden="1"/>
    <cellStyle name="Lien hypertexte visité" xfId="12" builtinId="9" hidden="1"/>
    <cellStyle name="Lien hypertexte visité" xfId="958" builtinId="9" hidden="1"/>
    <cellStyle name="Lien hypertexte visité" xfId="228" builtinId="9" hidden="1"/>
    <cellStyle name="Lien hypertexte visité" xfId="536" builtinId="9" hidden="1"/>
    <cellStyle name="Lien hypertexte visité" xfId="388" builtinId="9" hidden="1"/>
    <cellStyle name="Lien hypertexte visité" xfId="90" builtinId="9" hidden="1"/>
    <cellStyle name="Lien hypertexte visité" xfId="656" builtinId="9" hidden="1"/>
    <cellStyle name="Lien hypertexte visité" xfId="178" builtinId="9" hidden="1"/>
    <cellStyle name="Lien hypertexte visité" xfId="712" builtinId="9" hidden="1"/>
    <cellStyle name="Lien hypertexte visité" xfId="350" builtinId="9" hidden="1"/>
    <cellStyle name="Lien hypertexte visité" xfId="794" builtinId="9" hidden="1"/>
    <cellStyle name="Lien hypertexte visité" xfId="432" builtinId="9" hidden="1"/>
    <cellStyle name="Lien hypertexte visité" xfId="76" builtinId="9" hidden="1"/>
    <cellStyle name="Lien hypertexte visité" xfId="548" builtinId="9" hidden="1"/>
    <cellStyle name="Lien hypertexte visité" xfId="744" builtinId="9" hidden="1"/>
    <cellStyle name="Lien hypertexte visité" xfId="248" builtinId="9" hidden="1"/>
    <cellStyle name="Lien hypertexte visité" xfId="842" builtinId="9" hidden="1"/>
    <cellStyle name="Lien hypertexte visité" xfId="840" builtinId="9" hidden="1"/>
    <cellStyle name="Lien hypertexte visité" xfId="48" builtinId="9" hidden="1"/>
    <cellStyle name="Lien hypertexte visité" xfId="176" builtinId="9" hidden="1"/>
    <cellStyle name="Lien hypertexte visité" xfId="438" builtinId="9" hidden="1"/>
    <cellStyle name="Lien hypertexte visité" xfId="8" builtinId="9" hidden="1"/>
    <cellStyle name="Lien hypertexte visité" xfId="342" builtinId="9" hidden="1"/>
    <cellStyle name="Lien hypertexte visité" xfId="416" builtinId="9" hidden="1"/>
    <cellStyle name="Lien hypertexte visité" xfId="612" builtinId="9" hidden="1"/>
    <cellStyle name="Lien hypertexte visité" xfId="10" builtinId="9" hidden="1"/>
    <cellStyle name="Lien hypertexte visité" xfId="160" builtinId="9" hidden="1"/>
    <cellStyle name="Lien hypertexte visité" xfId="756" builtinId="9" hidden="1"/>
    <cellStyle name="Lien hypertexte visité" xfId="352" builtinId="9" hidden="1"/>
    <cellStyle name="Lien hypertexte visité" xfId="860" builtinId="9" hidden="1"/>
    <cellStyle name="Lien hypertexte visité" xfId="72" builtinId="9" hidden="1"/>
    <cellStyle name="Lien hypertexte visité" xfId="680" builtinId="9" hidden="1"/>
    <cellStyle name="Lien hypertexte visité" xfId="222" builtinId="9" hidden="1"/>
    <cellStyle name="Lien hypertexte visité" xfId="84" builtinId="9" hidden="1"/>
    <cellStyle name="Lien hypertexte visité" xfId="628" builtinId="9" hidden="1"/>
    <cellStyle name="Lien hypertexte visité" xfId="696" builtinId="9" hidden="1"/>
    <cellStyle name="Lien hypertexte visité" xfId="86" builtinId="9" hidden="1"/>
    <cellStyle name="Lien hypertexte visité" xfId="532" builtinId="9" hidden="1"/>
    <cellStyle name="Lien hypertexte visité" xfId="738" builtinId="9" hidden="1"/>
    <cellStyle name="Lien hypertexte visité" xfId="290" builtinId="9" hidden="1"/>
    <cellStyle name="Lien hypertexte visité" xfId="66" builtinId="9" hidden="1"/>
    <cellStyle name="Lien hypertexte visité" xfId="450" builtinId="9" hidden="1"/>
    <cellStyle name="Lien hypertexte visité" xfId="800" builtinId="9" hidden="1"/>
    <cellStyle name="Lien hypertexte visité" xfId="588" builtinId="9" hidden="1"/>
    <cellStyle name="Lien hypertexte visité" xfId="698" builtinId="9" hidden="1"/>
    <cellStyle name="Lien hypertexte visité" xfId="36" builtinId="9" hidden="1"/>
    <cellStyle name="Lien hypertexte visité" xfId="266" builtinId="9" hidden="1"/>
    <cellStyle name="Lien hypertexte visité" xfId="484" builtinId="9" hidden="1"/>
    <cellStyle name="Lien hypertexte visité" xfId="636" builtinId="9" hidden="1"/>
    <cellStyle name="Lien hypertexte visité" xfId="880" builtinId="9" hidden="1"/>
    <cellStyle name="Lien hypertexte visité" xfId="504" builtinId="9" hidden="1"/>
    <cellStyle name="Lien hypertexte visité" xfId="464" builtinId="9" hidden="1"/>
    <cellStyle name="Lien hypertexte visité" xfId="270" builtinId="9" hidden="1"/>
    <cellStyle name="Lien hypertexte visité" xfId="242" builtinId="9" hidden="1"/>
    <cellStyle name="Lien hypertexte visité" xfId="704" builtinId="9" hidden="1"/>
    <cellStyle name="Lien hypertexte visité" xfId="276" builtinId="9" hidden="1"/>
    <cellStyle name="Lien hypertexte visité" xfId="708" builtinId="9" hidden="1"/>
    <cellStyle name="Lien hypertexte visité" xfId="98" builtinId="9" hidden="1"/>
    <cellStyle name="Lien hypertexte visité" xfId="126" builtinId="9" hidden="1"/>
    <cellStyle name="Lien hypertexte visité" xfId="518" builtinId="9" hidden="1"/>
    <cellStyle name="Lien hypertexte visité" xfId="326" builtinId="9" hidden="1"/>
    <cellStyle name="Lien hypertexte visité" xfId="28" builtinId="9" hidden="1"/>
    <cellStyle name="Lien hypertexte visité" xfId="448" builtinId="9" hidden="1"/>
    <cellStyle name="Lien hypertexte visité" xfId="312" builtinId="9" hidden="1"/>
    <cellStyle name="Lien hypertexte visité" xfId="154" builtinId="9" hidden="1"/>
    <cellStyle name="Lien hypertexte visité" xfId="784" builtinId="9" hidden="1"/>
    <cellStyle name="Lien hypertexte visité" xfId="568" builtinId="9" hidden="1"/>
    <cellStyle name="Lien hypertexte visité" xfId="370" builtinId="9" hidden="1"/>
    <cellStyle name="Lien hypertexte visité" xfId="226" builtinId="9" hidden="1"/>
    <cellStyle name="Lien hypertexte visité" xfId="786" builtinId="9" hidden="1"/>
    <cellStyle name="Lien hypertexte visité" xfId="474" builtinId="9" hidden="1"/>
    <cellStyle name="Lien hypertexte visité" xfId="236" builtinId="9" hidden="1"/>
    <cellStyle name="Lien hypertexte visité" xfId="208" builtinId="9" hidden="1"/>
    <cellStyle name="Lien hypertexte visité" xfId="940" builtinId="9" hidden="1"/>
    <cellStyle name="Lien hypertexte visité" xfId="380" builtinId="9" hidden="1"/>
    <cellStyle name="Lien hypertexte visité" xfId="466" builtinId="9" hidden="1"/>
    <cellStyle name="Lien hypertexte visité" xfId="902" builtinId="9" hidden="1"/>
    <cellStyle name="Lien hypertexte visité" xfId="934" builtinId="9" hidden="1"/>
    <cellStyle name="Lien hypertexte visité" xfId="684" builtinId="9" hidden="1"/>
    <cellStyle name="Lien hypertexte visité" xfId="674" builtinId="9" hidden="1"/>
    <cellStyle name="Lien hypertexte visité" xfId="130" builtinId="9" hidden="1"/>
    <cellStyle name="Lien hypertexte visité" xfId="896" builtinId="9" hidden="1"/>
    <cellStyle name="Lien hypertexte visité" xfId="592" builtinId="9" hidden="1"/>
    <cellStyle name="Lien hypertexte visité" xfId="338" builtinId="9" hidden="1"/>
    <cellStyle name="Lien hypertexte visité" xfId="2" builtinId="9" hidden="1"/>
    <cellStyle name="Lien hypertexte visité" xfId="292" builtinId="9" hidden="1"/>
    <cellStyle name="Lien hypertexte visité" xfId="294" builtinId="9" hidden="1"/>
    <cellStyle name="Lien hypertexte visité" xfId="890" builtinId="9" hidden="1"/>
    <cellStyle name="Lien hypertexte visité" xfId="384" builtinId="9" hidden="1"/>
    <cellStyle name="Lien hypertexte visité" xfId="828" builtinId="9" hidden="1"/>
    <cellStyle name="Lien hypertexte visité" xfId="610" builtinId="9" hidden="1"/>
    <cellStyle name="Lien hypertexte visité" xfId="952" builtinId="9" hidden="1"/>
    <cellStyle name="Lien hypertexte visité" xfId="14" builtinId="9" hidden="1"/>
    <cellStyle name="Lien hypertexte visité" xfId="316" builtinId="9" hidden="1"/>
    <cellStyle name="Lien hypertexte visité" xfId="308" builtinId="9" hidden="1"/>
    <cellStyle name="Lien hypertexte visité" xfId="766" builtinId="9" hidden="1"/>
    <cellStyle name="Lien hypertexte visité" xfId="490" builtinId="9" hidden="1"/>
    <cellStyle name="Lien hypertexte visité" xfId="874" builtinId="9" hidden="1"/>
    <cellStyle name="Lien hypertexte visité" xfId="20" builtinId="9" hidden="1"/>
    <cellStyle name="Lien hypertexte visité" xfId="566" builtinId="9" hidden="1"/>
    <cellStyle name="Lien hypertexte visité" xfId="182" builtinId="9" hidden="1"/>
    <cellStyle name="Lien hypertexte visité" xfId="442" builtinId="9" hidden="1"/>
    <cellStyle name="Lien hypertexte visité" xfId="452" builtinId="9" hidden="1"/>
    <cellStyle name="Lien hypertexte visité" xfId="550" builtinId="9" hidden="1"/>
    <cellStyle name="Lien hypertexte visité" xfId="848" builtinId="9" hidden="1"/>
    <cellStyle name="Lien hypertexte visité" xfId="252" builtinId="9" hidden="1"/>
    <cellStyle name="Lien hypertexte visité" xfId="564" builtinId="9" hidden="1"/>
    <cellStyle name="Lien hypertexte visité" xfId="38" builtinId="9" hidden="1"/>
    <cellStyle name="Lien hypertexte visité" xfId="526" builtinId="9" hidden="1"/>
    <cellStyle name="Lien hypertexte visité" xfId="286" builtinId="9" hidden="1"/>
    <cellStyle name="Lien hypertexte visité" xfId="802" builtinId="9" hidden="1"/>
    <cellStyle name="Lien hypertexte visité" xfId="362" builtinId="9" hidden="1"/>
    <cellStyle name="Lien hypertexte visité" xfId="596" builtinId="9" hidden="1"/>
    <cellStyle name="Lien hypertexte visité" xfId="360" builtinId="9" hidden="1"/>
    <cellStyle name="Lien hypertexte visité" xfId="212" builtinId="9" hidden="1"/>
    <cellStyle name="Lien hypertexte visité" xfId="734" builtinId="9" hidden="1"/>
    <cellStyle name="Lien hypertexte visité" xfId="414" builtinId="9" hidden="1"/>
    <cellStyle name="Lien hypertexte visité" xfId="82" builtinId="9" hidden="1"/>
    <cellStyle name="Lien hypertexte visité" xfId="798" builtinId="9" hidden="1"/>
    <cellStyle name="Lien hypertexte visité" xfId="702" builtinId="9" hidden="1"/>
    <cellStyle name="Lien hypertexte visité" xfId="482" builtinId="9" hidden="1"/>
    <cellStyle name="Lien hypertexte visité" xfId="882" builtinId="9" hidden="1"/>
    <cellStyle name="Lien hypertexte visité" xfId="378" builtinId="9" hidden="1"/>
    <cellStyle name="Lien hypertexte visité" xfId="830" builtinId="9" hidden="1"/>
    <cellStyle name="Lien hypertexte visité" xfId="198" builtinId="9" hidden="1"/>
    <cellStyle name="Lien hypertexte visité" xfId="790" builtinId="9" hidden="1"/>
    <cellStyle name="Lien hypertexte visité" xfId="340" builtinId="9" hidden="1"/>
    <cellStyle name="Lien hypertexte visité" xfId="346" builtinId="9" hidden="1"/>
    <cellStyle name="Lien hypertexte visité" xfId="124" builtinId="9" hidden="1"/>
    <cellStyle name="Lien hypertexte visité" xfId="758" builtinId="9" hidden="1"/>
    <cellStyle name="Lien hypertexte visité" xfId="494" builtinId="9" hidden="1"/>
    <cellStyle name="Lien hypertexte visité" xfId="392" builtinId="9" hidden="1"/>
    <cellStyle name="Lien hypertexte visité" xfId="22" builtinId="9" hidden="1"/>
    <cellStyle name="Lien hypertexte visité" xfId="400" builtinId="9" hidden="1"/>
    <cellStyle name="Lien hypertexte visité" xfId="740" builtinId="9" hidden="1"/>
    <cellStyle name="Lien hypertexte visité" xfId="950" builtinId="9" hidden="1"/>
    <cellStyle name="Lien hypertexte visité" xfId="678" builtinId="9" hidden="1"/>
    <cellStyle name="Lien hypertexte visité" xfId="122" builtinId="9" hidden="1"/>
    <cellStyle name="Lien hypertexte visité" xfId="644" builtinId="9" hidden="1"/>
    <cellStyle name="Lien hypertexte visité" xfId="206" builtinId="9" hidden="1"/>
    <cellStyle name="Lien hypertexte visité" xfId="278" builtinId="9" hidden="1"/>
    <cellStyle name="Lien hypertexte visité" xfId="946" builtinId="9" hidden="1"/>
    <cellStyle name="Lien hypertexte visité" xfId="344" builtinId="9" hidden="1"/>
    <cellStyle name="Lien hypertexte visité" xfId="146" builtinId="9" hidden="1"/>
    <cellStyle name="Lien hypertexte visité" xfId="110" builtinId="9" hidden="1"/>
    <cellStyle name="Lien hypertexte visité" xfId="354" builtinId="9" hidden="1"/>
    <cellStyle name="Lien hypertexte visité" xfId="418" builtinId="9" hidden="1"/>
    <cellStyle name="Lien hypertexte visité" xfId="230" builtinId="9" hidden="1"/>
    <cellStyle name="Lien hypertexte visité" xfId="284" builtinId="9" hidden="1"/>
    <cellStyle name="Lien hypertexte visité" xfId="310" builtinId="9" hidden="1"/>
    <cellStyle name="Lien hypertexte visité" xfId="638" builtinId="9" hidden="1"/>
    <cellStyle name="Lien hypertexte visité" xfId="488" builtinId="9" hidden="1"/>
    <cellStyle name="Lien hypertexte visité" xfId="534" builtinId="9" hidden="1"/>
    <cellStyle name="Lien hypertexte visité" xfId="78" builtinId="9" hidden="1"/>
    <cellStyle name="Lien hypertexte visité" xfId="96" builtinId="9" hidden="1"/>
    <cellStyle name="Lien hypertexte visité" xfId="80" builtinId="9" hidden="1"/>
    <cellStyle name="Lien hypertexte visité" xfId="376" builtinId="9" hidden="1"/>
    <cellStyle name="Lien hypertexte visité" xfId="810" builtinId="9" hidden="1"/>
    <cellStyle name="Lien hypertexte visité" xfId="894" builtinId="9" hidden="1"/>
    <cellStyle name="Lien hypertexte visité" xfId="602" builtinId="9" hidden="1"/>
    <cellStyle name="Lien hypertexte visité" xfId="630" builtinId="9" hidden="1"/>
    <cellStyle name="Lien hypertexte visité" xfId="58" builtinId="9" hidden="1"/>
    <cellStyle name="Lien hypertexte visité" xfId="728" builtinId="9" hidden="1"/>
    <cellStyle name="Lien hypertexte visité" xfId="52" builtinId="9" hidden="1"/>
    <cellStyle name="Lien hypertexte visité" xfId="348" builtinId="9" hidden="1"/>
    <cellStyle name="Lien hypertexte visité" xfId="920" builtinId="9" hidden="1"/>
    <cellStyle name="Lien hypertexte visité" xfId="262" builtinId="9" hidden="1"/>
    <cellStyle name="Lien hypertexte visité" xfId="854" builtinId="9" hidden="1"/>
    <cellStyle name="Lien hypertexte visité" xfId="188" builtinId="9" hidden="1"/>
    <cellStyle name="Lien hypertexte visité" xfId="396" builtinId="9" hidden="1"/>
    <cellStyle name="Lien hypertexte visité" xfId="768" builtinId="9" hidden="1"/>
    <cellStyle name="Lien hypertexte visité" xfId="192" builtinId="9" hidden="1"/>
    <cellStyle name="Lien hypertexte visité" xfId="944" builtinId="9" hidden="1"/>
    <cellStyle name="Lien hypertexte visité" xfId="492" builtinId="9" hidden="1"/>
    <cellStyle name="Lien hypertexte visité" xfId="364" builtinId="9" hidden="1"/>
    <cellStyle name="Lien hypertexte visité" xfId="718" builtinId="9" hidden="1"/>
    <cellStyle name="Lien hypertexte visité" xfId="268" builtinId="9" hidden="1"/>
    <cellStyle name="Lien hypertexte visité" xfId="468" builtinId="9" hidden="1"/>
    <cellStyle name="Lien hypertexte visité" xfId="422" builtinId="9" hidden="1"/>
    <cellStyle name="Lien hypertexte visité" xfId="824" builtinId="9" hidden="1"/>
    <cellStyle name="Lien hypertexte visité" xfId="202" builtinId="9" hidden="1"/>
    <cellStyle name="Lien hypertexte visité" xfId="910" builtinId="9" hidden="1"/>
    <cellStyle name="Lien hypertexte visité" xfId="60" builtinId="9" hidden="1"/>
    <cellStyle name="Lien hypertexte visité" xfId="446" builtinId="9" hidden="1"/>
    <cellStyle name="Lien hypertexte visité" xfId="522" builtinId="9" hidden="1"/>
    <cellStyle name="Lien hypertexte visité" xfId="646" builtinId="9" hidden="1"/>
    <cellStyle name="Lien hypertexte visité" xfId="752" builtinId="9" hidden="1"/>
    <cellStyle name="Lien hypertexte visité" xfId="214" builtinId="9" hidden="1"/>
    <cellStyle name="Lien hypertexte visité" xfId="382" builtinId="9" hidden="1"/>
    <cellStyle name="Lien hypertexte visité" xfId="686" builtinId="9" hidden="1"/>
    <cellStyle name="Lien hypertexte visité" xfId="690" builtinId="9" hidden="1"/>
    <cellStyle name="Lien hypertexte visité" xfId="440" builtinId="9" hidden="1"/>
    <cellStyle name="Lien hypertexte visité" xfId="70" builtinId="9" hidden="1"/>
    <cellStyle name="Lien hypertexte visité" xfId="796" builtinId="9" hidden="1"/>
    <cellStyle name="Lien hypertexte visité" xfId="102" builtinId="9" hidden="1"/>
    <cellStyle name="Lien hypertexte visité" xfId="764" builtinId="9" hidden="1"/>
    <cellStyle name="Lien hypertexte visité" xfId="676" builtinId="9" hidden="1"/>
    <cellStyle name="Lien hypertexte visité" xfId="172" builtinId="9" hidden="1"/>
    <cellStyle name="Lien hypertexte visité" xfId="648" builtinId="9" hidden="1"/>
    <cellStyle name="Lien hypertexte visité" xfId="726" builtinId="9" hidden="1"/>
    <cellStyle name="Lien hypertexte visité" xfId="652" builtinId="9" hidden="1"/>
    <cellStyle name="Lien hypertexte visité" xfId="886" builtinId="9" hidden="1"/>
    <cellStyle name="Lien hypertexte visité" xfId="572" builtinId="9" hidden="1"/>
    <cellStyle name="Lien hypertexte visité" xfId="858" builtinId="9" hidden="1"/>
    <cellStyle name="Lien hypertexte visité" xfId="324" builtinId="9" hidden="1"/>
    <cellStyle name="Lien hypertexte visité" xfId="594" builtinId="9" hidden="1"/>
    <cellStyle name="Lien hypertexte visité" xfId="662" builtinId="9" hidden="1"/>
    <cellStyle name="Lien hypertexte visité" xfId="832" builtinId="9" hidden="1"/>
    <cellStyle name="Lien hypertexte visité" xfId="330" builtinId="9" hidden="1"/>
    <cellStyle name="Lien hypertexte visité" xfId="46" builtinId="9" hidden="1"/>
    <cellStyle name="Lien hypertexte visité" xfId="922" builtinId="9" hidden="1"/>
    <cellStyle name="Lien hypertexte visité" xfId="844" builtinId="9" hidden="1"/>
    <cellStyle name="Lien hypertexte visité" xfId="862" builtinId="9" hidden="1"/>
    <cellStyle name="Lien hypertexte visité" xfId="918" builtinId="9" hidden="1"/>
    <cellStyle name="Lien hypertexte visité" xfId="282" builtinId="9" hidden="1"/>
    <cellStyle name="Lien hypertexte visité" xfId="502" builtinId="9" hidden="1"/>
    <cellStyle name="Lien hypertexte visité" xfId="582" builtinId="9" hidden="1"/>
    <cellStyle name="Lien hypertexte visité" xfId="666" builtinId="9" hidden="1"/>
    <cellStyle name="Lien hypertexte visité" xfId="254" builtinId="9" hidden="1"/>
    <cellStyle name="Lien hypertexte visité" xfId="306" builtinId="9" hidden="1"/>
    <cellStyle name="Lien hypertexte visité" xfId="260" builtinId="9" hidden="1"/>
    <cellStyle name="Lien hypertexte visité" xfId="496" builtinId="9" hidden="1"/>
    <cellStyle name="Lien hypertexte visité" xfId="470" builtinId="9" hidden="1"/>
    <cellStyle name="Lien hypertexte visité" xfId="554" builtinId="9" hidden="1"/>
    <cellStyle name="Lien hypertexte visité" xfId="68" builtinId="9" hidden="1"/>
    <cellStyle name="Lien hypertexte visité" xfId="238" builtinId="9" hidden="1"/>
    <cellStyle name="Lien hypertexte visité" xfId="820" builtinId="9" hidden="1"/>
    <cellStyle name="Lien hypertexte visité" xfId="852" builtinId="9" hidden="1"/>
    <cellStyle name="Lien hypertexte visité" xfId="904" builtinId="9" hidden="1"/>
    <cellStyle name="Lien hypertexte visité" xfId="542" builtinId="9" hidden="1"/>
    <cellStyle name="Lien hypertexte visité" xfId="574" builtinId="9" hidden="1"/>
    <cellStyle name="Lien hypertexte visité" xfId="558" builtinId="9" hidden="1"/>
    <cellStyle name="Lien hypertexte visité" xfId="408" builtinId="9" hidden="1"/>
    <cellStyle name="Lien hypertexte visité" xfId="180" builtinId="9" hidden="1"/>
    <cellStyle name="Lien hypertexte visité" xfId="668" builtinId="9" hidden="1"/>
    <cellStyle name="Lien hypertexte visité" xfId="604" builtinId="9" hidden="1"/>
    <cellStyle name="Lien hypertexte visité" xfId="298" builtinId="9" hidden="1"/>
    <cellStyle name="Lien hypertexte visité" xfId="64" builtinId="9" hidden="1"/>
    <cellStyle name="Lien hypertexte visité" xfId="24" builtinId="9" hidden="1"/>
    <cellStyle name="Lien hypertexte visité" xfId="510" builtinId="9" hidden="1"/>
    <cellStyle name="Lien hypertexte visité" xfId="556" builtinId="9" hidden="1"/>
    <cellStyle name="Lien hypertexte visité" xfId="724" builtinId="9" hidden="1"/>
    <cellStyle name="Lien hypertexte visité" xfId="722" builtinId="9" hidden="1"/>
    <cellStyle name="Lien hypertexte visité" xfId="132" builtinId="9" hidden="1"/>
    <cellStyle name="Lien hypertexte visité" xfId="4" builtinId="9" hidden="1"/>
    <cellStyle name="Lien hypertexte visité" xfId="664" builtinId="9" hidden="1"/>
    <cellStyle name="Lien hypertexte visité" xfId="762" builtinId="9" hidden="1"/>
    <cellStyle name="Lien hypertexte visité" xfId="540" builtinId="9" hidden="1"/>
    <cellStyle name="Lien hypertexte visité" xfId="356" builtinId="9" hidden="1"/>
    <cellStyle name="Lien hypertexte visité" xfId="264" builtinId="9" hidden="1"/>
    <cellStyle name="Lien hypertexte visité" xfId="746" builtinId="9" hidden="1"/>
    <cellStyle name="Lien hypertexte visité" xfId="434" builtinId="9" hidden="1"/>
    <cellStyle name="Lien hypertexte visité" xfId="916" builtinId="9" hidden="1"/>
    <cellStyle name="Lien hypertexte visité" xfId="200" builtinId="9" hidden="1"/>
    <cellStyle name="Lien hypertexte visité" xfId="506" builtinId="9" hidden="1"/>
    <cellStyle name="Lien hypertexte visité" xfId="404" builtinId="9" hidden="1"/>
    <cellStyle name="Lien hypertexte visité" xfId="246" builtinId="9" hidden="1"/>
    <cellStyle name="Lien hypertexte visité" xfId="100" builtinId="9" hidden="1"/>
    <cellStyle name="Lien hypertexte visité" xfId="406" builtinId="9" hidden="1"/>
    <cellStyle name="Lien hypertexte visité" xfId="562" builtinId="9" hidden="1"/>
    <cellStyle name="Lien hypertexte visité" xfId="128" builtinId="9" hidden="1"/>
    <cellStyle name="Lien hypertexte visité" xfId="618" builtinId="9" hidden="1"/>
    <cellStyle name="Lien hypertexte visité" xfId="692" builtinId="9" hidden="1"/>
    <cellStyle name="Lien hypertexte visité" xfId="174" builtinId="9" hidden="1"/>
    <cellStyle name="Lien hypertexte visité" xfId="210" builtinId="9" hidden="1"/>
    <cellStyle name="Lien hypertexte visité" xfId="412" builtinId="9" hidden="1"/>
    <cellStyle name="Lien hypertexte visité" xfId="614" builtinId="9" hidden="1"/>
    <cellStyle name="Lien hypertexte visité" xfId="710" builtinId="9" hidden="1"/>
    <cellStyle name="Lien hypertexte visité" xfId="782" builtinId="9" hidden="1"/>
    <cellStyle name="Lien hypertexte visité" xfId="204" builtinId="9" hidden="1"/>
    <cellStyle name="Lien hypertexte visité" xfId="780" builtinId="9" hidden="1"/>
    <cellStyle name="Lien hypertexte visité" xfId="560" builtinId="9" hidden="1"/>
    <cellStyle name="Lien hypertexte visité" xfId="390" builtinId="9" hidden="1"/>
    <cellStyle name="Lien hypertexte visité" xfId="50" builtinId="9" hidden="1"/>
    <cellStyle name="Lien hypertexte visité" xfId="40" builtinId="9" hidden="1"/>
    <cellStyle name="Lien hypertexte visité" xfId="220" builtinId="9" hidden="1"/>
    <cellStyle name="Lien hypertexte visité" xfId="56" builtinId="9" hidden="1"/>
    <cellStyle name="Lien hypertexte visité" xfId="358" builtinId="9" hidden="1"/>
    <cellStyle name="Lien hypertexte visité" xfId="954" builtinId="9" hidden="1"/>
    <cellStyle name="Lien hypertexte visité" xfId="476" builtinId="9" hidden="1"/>
    <cellStyle name="Lien hypertexte visité" xfId="480" builtinId="9" hidden="1"/>
    <cellStyle name="Lien hypertexte visité" xfId="16" builtinId="9" hidden="1"/>
    <cellStyle name="Lien hypertexte visité" xfId="688" builtinId="9" hidden="1"/>
    <cellStyle name="Lien hypertexte visité" xfId="584" builtinId="9" hidden="1"/>
    <cellStyle name="Lien hypertexte visité" xfId="908" builtinId="9" hidden="1"/>
    <cellStyle name="Lien hypertexte visité" xfId="694" builtinId="9" hidden="1"/>
    <cellStyle name="Lien hypertexte visité" xfId="598" builtinId="9" hidden="1"/>
    <cellStyle name="Lien hypertexte visité" xfId="812" builtinId="9" hidden="1"/>
    <cellStyle name="Lien hypertexte visité" xfId="808" builtinId="9" hidden="1"/>
    <cellStyle name="Lien hypertexte visité" xfId="658" builtinId="9" hidden="1"/>
    <cellStyle name="Lien hypertexte visité" xfId="822" builtinId="9" hidden="1"/>
    <cellStyle name="Lien hypertexte visité" xfId="736" builtinId="9" hidden="1"/>
    <cellStyle name="Lien hypertexte visité" xfId="94" builtinId="9" hidden="1"/>
    <cellStyle name="Lien hypertexte visité" xfId="138" builtinId="9" hidden="1"/>
    <cellStyle name="Lien hypertexte visité" xfId="158" builtinId="9" hidden="1"/>
    <cellStyle name="Lien hypertexte visité" xfId="576" builtinId="9" hidden="1"/>
    <cellStyle name="Lien hypertexte visité" xfId="374" builtinId="9" hidden="1"/>
    <cellStyle name="Lien hypertexte visité" xfId="116" builtinId="9" hidden="1"/>
    <cellStyle name="Lien hypertexte visité" xfId="788" builtinId="9" hidden="1"/>
    <cellStyle name="Lien hypertexte visité" xfId="444" builtinId="9" hidden="1"/>
    <cellStyle name="Lien hypertexte visité" xfId="150" builtinId="9" hidden="1"/>
    <cellStyle name="Lien hypertexte visité" xfId="512" builtinId="9" hidden="1"/>
    <cellStyle name="Lien hypertexte visité" xfId="162" builtinId="9" hidden="1"/>
    <cellStyle name="Lien hypertexte visité" xfId="732" builtinId="9" hidden="1"/>
    <cellStyle name="Lien hypertexte visité" xfId="368" builtinId="9" hidden="1"/>
    <cellStyle name="Lien hypertexte visité" xfId="232" builtinId="9" hidden="1"/>
    <cellStyle name="Lien hypertexte visité" xfId="472" builtinId="9" hidden="1"/>
    <cellStyle name="Lien hypertexte visité" xfId="806" builtinId="9" hidden="1"/>
    <cellStyle name="Lien hypertexte visité" xfId="870" builtinId="9" hidden="1"/>
    <cellStyle name="Lien hypertexte visité" xfId="884" builtinId="9" hidden="1"/>
    <cellStyle name="Lien hypertexte visité" xfId="818" builtinId="9" hidden="1"/>
    <cellStyle name="Lien hypertexte visité" xfId="928" builtinId="9" hidden="1"/>
    <cellStyle name="Lien hypertexte visité" xfId="620" builtinId="9" hidden="1"/>
    <cellStyle name="Lien hypertexte visité" xfId="244" builtinId="9" hidden="1"/>
    <cellStyle name="Lien hypertexte visité" xfId="742" builtinId="9" hidden="1"/>
    <cellStyle name="Lien hypertexte visité" xfId="892" builtinId="9" hidden="1"/>
    <cellStyle name="Lien hypertexte visité" xfId="872" builtinId="9" hidden="1"/>
    <cellStyle name="Lien hypertexte visité" xfId="772" builtinId="9" hidden="1"/>
    <cellStyle name="Lien hypertexte visité" xfId="516" builtinId="9" hidden="1"/>
    <cellStyle name="Lien hypertexte visité" xfId="932" builtinId="9" hidden="1"/>
    <cellStyle name="Lien hypertexte visité" xfId="74" builtinId="9" hidden="1"/>
    <cellStyle name="Lien hypertexte visité" xfId="942" builtinId="9" hidden="1"/>
    <cellStyle name="Lien hypertexte visité" xfId="34" builtinId="9" hidden="1"/>
    <cellStyle name="Lien hypertexte visité" xfId="672" builtinId="9" hidden="1"/>
    <cellStyle name="Lien hypertexte visité" xfId="26" builtinId="9" hidden="1"/>
    <cellStyle name="Lien hypertexte visité" xfId="250" builtinId="9" hidden="1"/>
    <cellStyle name="Lien hypertexte visité" xfId="750" builtinId="9" hidden="1"/>
    <cellStyle name="Lien hypertexte visité" xfId="106" builtinId="9" hidden="1"/>
    <cellStyle name="Lien hypertexte visité" xfId="814" builtinId="9" hidden="1"/>
    <cellStyle name="Lien hypertexte visité" xfId="936" builtinId="9" hidden="1"/>
    <cellStyle name="Lien hypertexte visité" xfId="866" builtinId="9" hidden="1"/>
    <cellStyle name="Lien hypertexte visité" xfId="706" builtinId="9" hidden="1"/>
    <cellStyle name="Lien hypertexte visité" xfId="714" builtinId="9" hidden="1"/>
    <cellStyle name="Lien hypertexte visité" xfId="530" builtinId="9" hidden="1"/>
    <cellStyle name="Lien hypertexte visité" xfId="948" builtinId="9" hidden="1"/>
    <cellStyle name="Lien hypertexte visité" xfId="624" builtinId="9" hidden="1"/>
    <cellStyle name="Lien hypertexte visité" xfId="62" builtinId="9" hidden="1"/>
    <cellStyle name="Lien hypertexte visité" xfId="216" builtinId="9" hidden="1"/>
    <cellStyle name="Lien hypertexte visité" xfId="120" builtinId="9" hidden="1"/>
    <cellStyle name="Lien hypertexte visité" xfId="888" builtinId="9" hidden="1"/>
    <cellStyle name="Lien hypertexte visité" xfId="836" builtinId="9" hidden="1"/>
    <cellStyle name="Lien hypertexte visité" xfId="164" builtinId="9" hidden="1"/>
    <cellStyle name="Lien hypertexte visité" xfId="280" builtinId="9" hidden="1"/>
    <cellStyle name="Lien hypertexte visité" xfId="924" builtinId="9" hidden="1"/>
    <cellStyle name="Lien hypertexte visité" xfId="960" builtinId="9" hidden="1"/>
    <cellStyle name="Lien hypertexte visité" xfId="166" builtinId="9" hidden="1"/>
    <cellStyle name="Lien hypertexte visité" xfId="136" builtinId="9" hidden="1"/>
    <cellStyle name="Lien hypertexte visité" xfId="108" builtinId="9" hidden="1"/>
    <cellStyle name="Lien hypertexte visité" xfId="804" builtinId="9" hidden="1"/>
    <cellStyle name="Lien hypertexte visité" xfId="430" builtinId="9" hidden="1"/>
    <cellStyle name="Lien hypertexte visité" xfId="302" builtinId="9" hidden="1"/>
    <cellStyle name="Lien hypertexte visité" xfId="332" builtinId="9" hidden="1"/>
    <cellStyle name="Lien hypertexte visité" xfId="144" builtinId="9" hidden="1"/>
    <cellStyle name="Lien hypertexte visité" xfId="498" builtinId="9" hidden="1"/>
    <cellStyle name="Lien hypertexte visité" xfId="196" builtinId="9" hidden="1"/>
    <cellStyle name="Lien hypertexte visité" xfId="660" builtinId="9" hidden="1"/>
    <cellStyle name="Lien hypertexte visité" xfId="682" builtinId="9" hidden="1"/>
    <cellStyle name="Lien hypertexte visité" xfId="186" builtinId="9" hidden="1"/>
    <cellStyle name="Lien hypertexte visité" xfId="334" builtinId="9" hidden="1"/>
    <cellStyle name="Lien hypertexte visité" xfId="54" builtinId="9" hidden="1"/>
    <cellStyle name="Lien hypertexte visité" xfId="386" builtinId="9" hidden="1"/>
    <cellStyle name="Lien hypertexte visité" xfId="838" builtinId="9" hidden="1"/>
    <cellStyle name="Lien hypertexte visité" xfId="846" builtinId="9" hidden="1"/>
    <cellStyle name="Lien hypertexte visité" xfId="402" builtinId="9" hidden="1"/>
    <cellStyle name="Lien hypertexte visité" xfId="650" builtinId="9" hidden="1"/>
    <cellStyle name="Lien hypertexte visité" xfId="114" builtinId="9" hidden="1"/>
    <cellStyle name="Lien hypertexte visité" xfId="426" builtinId="9" hidden="1"/>
    <cellStyle name="Lien hypertexte visité" xfId="152" builtinId="9" hidden="1"/>
    <cellStyle name="Lien hypertexte visité" xfId="748" builtinId="9" hidden="1"/>
    <cellStyle name="Lien hypertexte visité" xfId="394" builtinId="9" hidden="1"/>
    <cellStyle name="Lien hypertexte visité" xfId="454" builtinId="9" hidden="1"/>
    <cellStyle name="Lien hypertexte visité" xfId="600" builtinId="9" hidden="1"/>
    <cellStyle name="Lien hypertexte visité" xfId="962" builtinId="9" hidden="1"/>
    <cellStyle name="Lien hypertexte visité" xfId="234" builtinId="9" hidden="1"/>
    <cellStyle name="Lien hypertexte visité" xfId="318" builtinId="9" hidden="1"/>
    <cellStyle name="Lien hypertexte visité" xfId="524" builtinId="9" hidden="1"/>
    <cellStyle name="Lien hypertexte visité" xfId="906" builtinId="9" hidden="1"/>
    <cellStyle name="Lien hypertexte visité" xfId="578" builtinId="9" hidden="1"/>
    <cellStyle name="Lien hypertexte visité" xfId="900" builtinId="9" hidden="1"/>
    <cellStyle name="Lien hypertexte visité" xfId="730" builtinId="9" hidden="1"/>
    <cellStyle name="Lien hypertexte visité" xfId="372" builtinId="9" hidden="1"/>
    <cellStyle name="Lien hypertexte visité" xfId="868" builtinId="9" hidden="1"/>
    <cellStyle name="Lien hypertexte visité" xfId="366" builtinId="9" hidden="1"/>
    <cellStyle name="Lien hypertexte visité" xfId="104" builtinId="9" hidden="1"/>
    <cellStyle name="Lien hypertexte visité" xfId="42" builtinId="9" hidden="1"/>
    <cellStyle name="Lien hypertexte visité" xfId="322" builtinId="9" hidden="1"/>
    <cellStyle name="Lien hypertexte visité" xfId="930" builtinId="9" hidden="1"/>
    <cellStyle name="Lien hypertexte visité" xfId="580" builtinId="9" hidden="1"/>
    <cellStyle name="Lien hypertexte visité" xfId="616" builtinId="9" hidden="1"/>
    <cellStyle name="Lien hypertexte visité" xfId="938" builtinId="9" hidden="1"/>
    <cellStyle name="Lien hypertexte visité" xfId="258" builtinId="9" hidden="1"/>
    <cellStyle name="Lien hypertexte visité" xfId="632" builtinId="9" hidden="1"/>
    <cellStyle name="Lien hypertexte visité" xfId="776" builtinId="9" hidden="1"/>
    <cellStyle name="Lien hypertexte visité" xfId="184" builtinId="9" hidden="1"/>
    <cellStyle name="Lien hypertexte visité" xfId="168" builtinId="9" hidden="1"/>
    <cellStyle name="Lien hypertexte visité" xfId="826" builtinId="9" hidden="1"/>
    <cellStyle name="Lien hypertexte visité" xfId="670" builtinId="9" hidden="1"/>
    <cellStyle name="Lien hypertexte visité" xfId="606" builtinId="9" hidden="1"/>
    <cellStyle name="Lien hypertexte visité" xfId="300" builtinId="9" hidden="1"/>
    <cellStyle name="Lien hypertexte visité" xfId="460" builtinId="9" hidden="1"/>
    <cellStyle name="Lien hypertexte visité" xfId="486" builtinId="9" hidden="1"/>
    <cellStyle name="Lien hypertexte visité" xfId="520" builtinId="9" hidden="1"/>
    <cellStyle name="Lien hypertexte visité" xfId="654" builtinId="9" hidden="1"/>
    <cellStyle name="Lien hypertexte visité" xfId="118" builtinId="9" hidden="1"/>
    <cellStyle name="Lien hypertexte visité" xfId="778" builtinId="9" hidden="1"/>
    <cellStyle name="Lien hypertexte visité" xfId="134" builtinId="9" hidden="1"/>
    <cellStyle name="Lien hypertexte visité" xfId="314" builtinId="9" hidden="1"/>
    <cellStyle name="Lien hypertexte visité" xfId="544" builtinId="9" hidden="1"/>
    <cellStyle name="Lien hypertexte visité" xfId="156" builtinId="9" hidden="1"/>
    <cellStyle name="Lien hypertexte visité" xfId="336" builtinId="9" hidden="1"/>
    <cellStyle name="Lien hypertexte visité" xfId="218" builtinId="9" hidden="1"/>
    <cellStyle name="Lien hypertexte visité" xfId="88" builtinId="9" hidden="1"/>
    <cellStyle name="Lien hypertexte visité" xfId="878" builtinId="9" hidden="1"/>
    <cellStyle name="Lien hypertexte visité" xfId="926" builtinId="9" hidden="1"/>
    <cellStyle name="Lien hypertexte visité" xfId="590" builtinId="9" hidden="1"/>
    <cellStyle name="Lien hypertexte visité" xfId="538" builtinId="9" hidden="1"/>
    <cellStyle name="Lien hypertexte visité" xfId="272" builtinId="9" hidden="1"/>
    <cellStyle name="Lien hypertexte visité" xfId="304" builtinId="9" hidden="1"/>
    <cellStyle name="Lien hypertexte visité" xfId="256" builtinId="9" hidden="1"/>
    <cellStyle name="Lien hypertexte visité" xfId="622" builtinId="9" hidden="1"/>
    <cellStyle name="Lien hypertexte visité" xfId="18" builtinId="9" hidden="1"/>
    <cellStyle name="Lien hypertexte visité" xfId="30" builtinId="9" hidden="1"/>
    <cellStyle name="Lien hypertexte visité" xfId="508" builtinId="9" hidden="1"/>
    <cellStyle name="Lien hypertexte visité" xfId="850" builtinId="9" hidden="1"/>
    <cellStyle name="Lien hypertexte visité" xfId="148" builtinId="9" hidden="1"/>
    <cellStyle name="Lien hypertexte visité" xfId="774" builtinId="9" hidden="1"/>
    <cellStyle name="Lien hypertexte visité" xfId="720" builtinId="9" hidden="1"/>
    <cellStyle name="Lien hypertexte visité" xfId="170" builtinId="9" hidden="1"/>
    <cellStyle name="Lien hypertexte visité" xfId="288" builtinId="9" hidden="1"/>
    <cellStyle name="Lien hypertexte visité" xfId="834" builtinId="9" hidden="1"/>
    <cellStyle name="Lien hypertexte visité" xfId="792" builtinId="9" hidden="1"/>
    <cellStyle name="Lien hypertexte visité" xfId="898" builtinId="9" hidden="1"/>
    <cellStyle name="Lien hypertexte visité" xfId="608" builtinId="9" hidden="1"/>
    <cellStyle name="Lien hypertexte visité" xfId="458" builtinId="9" hidden="1"/>
    <cellStyle name="Lien hypertexte visité" xfId="816" builtinId="9" hidden="1"/>
    <cellStyle name="Lien hypertexte visité" xfId="956" builtinId="9" hidden="1"/>
    <cellStyle name="Lien hypertexte visité" xfId="436" builtinId="9" hidden="1"/>
    <cellStyle name="Lien hypertexte visité" xfId="224" builtinId="9" hidden="1"/>
    <cellStyle name="Lien hypertexte visité" xfId="700" builtinId="9" hidden="1"/>
    <cellStyle name="Lien hypertexte visité" xfId="552" builtinId="9" hidden="1"/>
    <cellStyle name="Lien hypertexte visité" xfId="478" builtinId="9" hidden="1"/>
    <cellStyle name="Lien hypertexte visité" xfId="428" builtinId="9" hidden="1"/>
    <cellStyle name="Lien hypertexte visité" xfId="770" builtinId="9" hidden="1"/>
    <cellStyle name="Lien hypertexte visité" xfId="546" builtinId="9" hidden="1"/>
    <cellStyle name="Lien hypertexte visité" xfId="6" builtinId="9" hidden="1"/>
    <cellStyle name="Normal" xfId="0" builtinId="0"/>
    <cellStyle name="Normal 2" xfId="963" xr:uid="{00000000-0005-0000-0000-0000C3030000}"/>
  </cellStyles>
  <dxfs count="3">
    <dxf>
      <font>
        <b/>
        <i val="0"/>
        <color theme="4"/>
      </font>
    </dxf>
    <dxf>
      <font>
        <b/>
        <i val="0"/>
        <color theme="4"/>
      </font>
    </dxf>
    <dxf>
      <font>
        <b val="0"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Q15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Q2" sqref="A1:Q2"/>
    </sheetView>
  </sheetViews>
  <sheetFormatPr baseColWidth="10" defaultColWidth="11.5" defaultRowHeight="14" x14ac:dyDescent="0.15"/>
  <cols>
    <col min="1" max="1" width="12.5" style="72" customWidth="1"/>
    <col min="2" max="2" width="12.33203125" style="72" customWidth="1"/>
    <col min="3" max="3" width="23.5" style="72" bestFit="1" customWidth="1"/>
    <col min="4" max="4" width="20" style="30" customWidth="1"/>
    <col min="5" max="5" width="5" style="73" customWidth="1"/>
    <col min="6" max="6" width="15.6640625" style="30" customWidth="1"/>
    <col min="7" max="7" width="5" style="30" customWidth="1"/>
    <col min="8" max="8" width="13.33203125" style="30" customWidth="1"/>
    <col min="9" max="9" width="9.5" style="74" customWidth="1"/>
    <col min="10" max="10" width="8.6640625" style="74" customWidth="1"/>
    <col min="11" max="11" width="11.1640625" style="74" bestFit="1" customWidth="1"/>
    <col min="12" max="12" width="9.1640625" style="76" customWidth="1"/>
    <col min="13" max="13" width="15" style="77" customWidth="1"/>
    <col min="14" max="14" width="16.6640625" style="30" bestFit="1" customWidth="1"/>
    <col min="15" max="15" width="11.6640625" style="30" customWidth="1"/>
    <col min="16" max="16" width="12.6640625" style="30" bestFit="1" customWidth="1"/>
    <col min="17" max="17" width="14.5" style="75" bestFit="1" customWidth="1"/>
    <col min="18" max="16384" width="11.5" style="29"/>
  </cols>
  <sheetData>
    <row r="1" spans="1:17" ht="13.25" customHeight="1" thickBot="1" x14ac:dyDescent="0.2">
      <c r="A1" s="19">
        <v>45908</v>
      </c>
      <c r="B1" s="20"/>
      <c r="C1" s="20"/>
      <c r="D1" s="20"/>
      <c r="E1" s="20"/>
      <c r="F1" s="21" t="s">
        <v>0</v>
      </c>
      <c r="G1" s="22"/>
      <c r="H1" s="23">
        <f>_xlfn.ISOWEEKNUM(A12)</f>
        <v>37</v>
      </c>
      <c r="I1" s="20"/>
      <c r="J1" s="24" t="s">
        <v>1</v>
      </c>
      <c r="K1" s="25">
        <f>A75-7</f>
        <v>45904</v>
      </c>
      <c r="L1" s="26"/>
      <c r="M1" s="27" t="s">
        <v>2</v>
      </c>
      <c r="N1" s="28" t="s">
        <v>3</v>
      </c>
      <c r="O1" s="28"/>
      <c r="P1" s="21" t="s">
        <v>4</v>
      </c>
      <c r="Q1" s="23">
        <v>1</v>
      </c>
    </row>
    <row r="2" spans="1:17" s="30" customFormat="1" ht="30" customHeight="1" thickBot="1" x14ac:dyDescent="0.2">
      <c r="A2" s="1" t="s">
        <v>5</v>
      </c>
      <c r="B2" s="1" t="s">
        <v>14</v>
      </c>
      <c r="C2" s="1" t="s">
        <v>15</v>
      </c>
      <c r="D2" s="1" t="s">
        <v>6</v>
      </c>
      <c r="E2" s="2" t="s">
        <v>7</v>
      </c>
      <c r="F2" s="3" t="s">
        <v>8</v>
      </c>
      <c r="G2" s="4" t="s">
        <v>9</v>
      </c>
      <c r="H2" s="4" t="s">
        <v>10</v>
      </c>
      <c r="I2" s="5" t="s">
        <v>16</v>
      </c>
      <c r="J2" s="5" t="s">
        <v>17</v>
      </c>
      <c r="K2" s="5" t="s">
        <v>18</v>
      </c>
      <c r="L2" s="6" t="s">
        <v>19</v>
      </c>
      <c r="M2" s="7" t="s">
        <v>20</v>
      </c>
      <c r="N2" s="8" t="s">
        <v>21</v>
      </c>
      <c r="O2" s="9" t="s">
        <v>22</v>
      </c>
      <c r="P2" s="4" t="s">
        <v>11</v>
      </c>
      <c r="Q2" s="10" t="s">
        <v>12</v>
      </c>
    </row>
    <row r="3" spans="1:17" ht="15" customHeight="1" x14ac:dyDescent="0.15">
      <c r="A3" s="11"/>
      <c r="B3" s="11" t="str">
        <f>IF(ISBLANK(K3),"",K3)</f>
        <v/>
      </c>
      <c r="C3" s="11"/>
      <c r="D3" s="31"/>
      <c r="E3" s="32"/>
      <c r="F3" s="33"/>
      <c r="G3" s="34"/>
      <c r="H3" s="34"/>
      <c r="I3" s="78"/>
      <c r="J3" s="79"/>
      <c r="K3" s="80"/>
      <c r="L3" s="81"/>
      <c r="M3" s="35"/>
      <c r="N3" s="36"/>
      <c r="O3" s="37"/>
      <c r="P3" s="38"/>
      <c r="Q3" s="39"/>
    </row>
    <row r="4" spans="1:17" ht="15" customHeight="1" x14ac:dyDescent="0.15">
      <c r="A4" s="12" t="str">
        <f>UPPER(TEXT(A12,"jjjj"))</f>
        <v>LUNDI</v>
      </c>
      <c r="B4" s="13" t="str">
        <f>IF(ISBLANK(K4),"",K4)</f>
        <v/>
      </c>
      <c r="C4" s="14">
        <f>$A$12</f>
        <v>45908</v>
      </c>
      <c r="D4" s="40"/>
      <c r="E4" s="41"/>
      <c r="F4" s="42"/>
      <c r="G4" s="43"/>
      <c r="H4" s="44"/>
      <c r="I4" s="82"/>
      <c r="J4" s="83"/>
      <c r="K4" s="84"/>
      <c r="L4" s="85"/>
      <c r="M4" s="45"/>
      <c r="N4" s="46" t="str">
        <f>IF(O4=""," ","COLIS PRÊT CDG")</f>
        <v xml:space="preserve"> </v>
      </c>
      <c r="O4" s="47"/>
      <c r="P4" s="48"/>
      <c r="Q4" s="49"/>
    </row>
    <row r="5" spans="1:17" ht="15" customHeight="1" x14ac:dyDescent="0.15">
      <c r="A5" s="15"/>
      <c r="B5" s="13" t="str">
        <f t="shared" ref="B5:B22" si="0">IF(ISBLANK(K5),"",K5)</f>
        <v/>
      </c>
      <c r="C5" s="14">
        <f t="shared" ref="C5:C22" si="1">$A$12</f>
        <v>45908</v>
      </c>
      <c r="D5" s="40"/>
      <c r="E5" s="41"/>
      <c r="F5" s="42"/>
      <c r="G5" s="43"/>
      <c r="H5" s="44"/>
      <c r="I5" s="82"/>
      <c r="J5" s="83"/>
      <c r="K5" s="84"/>
      <c r="L5" s="85"/>
      <c r="M5" s="45"/>
      <c r="N5" s="46" t="str">
        <f t="shared" ref="N5:N22" si="2">IF(O5=""," ","COLIS PRÊT CDG")</f>
        <v xml:space="preserve"> </v>
      </c>
      <c r="O5" s="47"/>
      <c r="P5" s="48"/>
      <c r="Q5" s="49"/>
    </row>
    <row r="6" spans="1:17" ht="15" customHeight="1" x14ac:dyDescent="0.15">
      <c r="A6" s="15"/>
      <c r="B6" s="13" t="str">
        <f t="shared" si="0"/>
        <v/>
      </c>
      <c r="C6" s="14">
        <f t="shared" si="1"/>
        <v>45908</v>
      </c>
      <c r="D6" s="40"/>
      <c r="E6" s="41"/>
      <c r="F6" s="42"/>
      <c r="G6" s="43"/>
      <c r="H6" s="44"/>
      <c r="I6" s="82"/>
      <c r="J6" s="83"/>
      <c r="K6" s="84"/>
      <c r="L6" s="85"/>
      <c r="M6" s="45"/>
      <c r="N6" s="46" t="str">
        <f t="shared" si="2"/>
        <v xml:space="preserve"> </v>
      </c>
      <c r="O6" s="47"/>
      <c r="P6" s="48"/>
      <c r="Q6" s="49"/>
    </row>
    <row r="7" spans="1:17" ht="15" customHeight="1" x14ac:dyDescent="0.15">
      <c r="A7" s="15"/>
      <c r="B7" s="13" t="str">
        <f t="shared" si="0"/>
        <v/>
      </c>
      <c r="C7" s="14">
        <f t="shared" si="1"/>
        <v>45908</v>
      </c>
      <c r="D7" s="40"/>
      <c r="E7" s="41"/>
      <c r="F7" s="42"/>
      <c r="G7" s="43"/>
      <c r="H7" s="44"/>
      <c r="I7" s="82"/>
      <c r="J7" s="83"/>
      <c r="K7" s="84"/>
      <c r="L7" s="85"/>
      <c r="M7" s="45"/>
      <c r="N7" s="46" t="str">
        <f t="shared" si="2"/>
        <v xml:space="preserve"> </v>
      </c>
      <c r="O7" s="47"/>
      <c r="P7" s="48"/>
      <c r="Q7" s="49"/>
    </row>
    <row r="8" spans="1:17" ht="15" customHeight="1" x14ac:dyDescent="0.15">
      <c r="A8" s="15"/>
      <c r="B8" s="13" t="str">
        <f t="shared" si="0"/>
        <v/>
      </c>
      <c r="C8" s="14">
        <f t="shared" si="1"/>
        <v>45908</v>
      </c>
      <c r="D8" s="40"/>
      <c r="E8" s="41"/>
      <c r="F8" s="42"/>
      <c r="G8" s="43"/>
      <c r="H8" s="44"/>
      <c r="I8" s="82"/>
      <c r="J8" s="83"/>
      <c r="K8" s="84"/>
      <c r="L8" s="85"/>
      <c r="M8" s="45"/>
      <c r="N8" s="46" t="str">
        <f t="shared" si="2"/>
        <v xml:space="preserve"> </v>
      </c>
      <c r="O8" s="47"/>
      <c r="P8" s="48"/>
      <c r="Q8" s="49"/>
    </row>
    <row r="9" spans="1:17" ht="15" customHeight="1" x14ac:dyDescent="0.15">
      <c r="A9" s="15"/>
      <c r="B9" s="13" t="str">
        <f t="shared" si="0"/>
        <v/>
      </c>
      <c r="C9" s="14">
        <f t="shared" si="1"/>
        <v>45908</v>
      </c>
      <c r="D9" s="40"/>
      <c r="E9" s="41"/>
      <c r="F9" s="42"/>
      <c r="G9" s="43"/>
      <c r="H9" s="44"/>
      <c r="I9" s="82"/>
      <c r="J9" s="83"/>
      <c r="K9" s="84"/>
      <c r="L9" s="85"/>
      <c r="M9" s="45"/>
      <c r="N9" s="46" t="str">
        <f t="shared" si="2"/>
        <v xml:space="preserve"> </v>
      </c>
      <c r="O9" s="47"/>
      <c r="P9" s="48"/>
      <c r="Q9" s="49"/>
    </row>
    <row r="10" spans="1:17" ht="15" customHeight="1" x14ac:dyDescent="0.15">
      <c r="A10" s="15"/>
      <c r="B10" s="13" t="str">
        <f t="shared" si="0"/>
        <v/>
      </c>
      <c r="C10" s="14">
        <f t="shared" si="1"/>
        <v>45908</v>
      </c>
      <c r="D10" s="40"/>
      <c r="E10" s="41"/>
      <c r="F10" s="42"/>
      <c r="G10" s="43"/>
      <c r="H10" s="44"/>
      <c r="I10" s="82"/>
      <c r="J10" s="83"/>
      <c r="K10" s="84"/>
      <c r="L10" s="85"/>
      <c r="M10" s="45"/>
      <c r="N10" s="46" t="str">
        <f t="shared" si="2"/>
        <v xml:space="preserve"> </v>
      </c>
      <c r="O10" s="47"/>
      <c r="P10" s="48"/>
      <c r="Q10" s="49"/>
    </row>
    <row r="11" spans="1:17" ht="15" customHeight="1" x14ac:dyDescent="0.15">
      <c r="A11" s="15"/>
      <c r="B11" s="13" t="str">
        <f t="shared" si="0"/>
        <v/>
      </c>
      <c r="C11" s="14">
        <f t="shared" si="1"/>
        <v>45908</v>
      </c>
      <c r="D11" s="40"/>
      <c r="E11" s="41"/>
      <c r="F11" s="42"/>
      <c r="G11" s="43"/>
      <c r="H11" s="44"/>
      <c r="I11" s="82"/>
      <c r="J11" s="83"/>
      <c r="K11" s="84"/>
      <c r="L11" s="85"/>
      <c r="M11" s="45"/>
      <c r="N11" s="46" t="str">
        <f t="shared" si="2"/>
        <v xml:space="preserve"> </v>
      </c>
      <c r="O11" s="47"/>
      <c r="P11" s="48"/>
      <c r="Q11" s="49"/>
    </row>
    <row r="12" spans="1:17" ht="15" customHeight="1" x14ac:dyDescent="0.15">
      <c r="A12" s="16">
        <f>A1</f>
        <v>45908</v>
      </c>
      <c r="B12" s="13" t="str">
        <f t="shared" si="0"/>
        <v/>
      </c>
      <c r="C12" s="14">
        <f t="shared" si="1"/>
        <v>45908</v>
      </c>
      <c r="D12" s="40"/>
      <c r="E12" s="41"/>
      <c r="F12" s="42"/>
      <c r="G12" s="43"/>
      <c r="H12" s="44"/>
      <c r="I12" s="82"/>
      <c r="J12" s="83"/>
      <c r="K12" s="84"/>
      <c r="L12" s="85"/>
      <c r="M12" s="45"/>
      <c r="N12" s="46" t="str">
        <f t="shared" si="2"/>
        <v xml:space="preserve"> </v>
      </c>
      <c r="O12" s="47"/>
      <c r="P12" s="48"/>
      <c r="Q12" s="49"/>
    </row>
    <row r="13" spans="1:17" ht="15" customHeight="1" x14ac:dyDescent="0.15">
      <c r="A13" s="15"/>
      <c r="B13" s="13" t="str">
        <f t="shared" si="0"/>
        <v/>
      </c>
      <c r="C13" s="14">
        <f t="shared" si="1"/>
        <v>45908</v>
      </c>
      <c r="D13" s="40"/>
      <c r="E13" s="41"/>
      <c r="F13" s="42"/>
      <c r="G13" s="43"/>
      <c r="H13" s="44"/>
      <c r="I13" s="82"/>
      <c r="J13" s="83"/>
      <c r="K13" s="84"/>
      <c r="L13" s="85"/>
      <c r="M13" s="45"/>
      <c r="N13" s="46" t="str">
        <f t="shared" si="2"/>
        <v xml:space="preserve"> </v>
      </c>
      <c r="O13" s="47"/>
      <c r="P13" s="48"/>
      <c r="Q13" s="49"/>
    </row>
    <row r="14" spans="1:17" ht="15" customHeight="1" x14ac:dyDescent="0.15">
      <c r="A14" s="15"/>
      <c r="B14" s="13" t="str">
        <f t="shared" si="0"/>
        <v/>
      </c>
      <c r="C14" s="14">
        <f t="shared" si="1"/>
        <v>45908</v>
      </c>
      <c r="D14" s="40"/>
      <c r="E14" s="41"/>
      <c r="F14" s="42"/>
      <c r="G14" s="43"/>
      <c r="H14" s="44"/>
      <c r="I14" s="82"/>
      <c r="J14" s="83"/>
      <c r="K14" s="84"/>
      <c r="L14" s="85"/>
      <c r="M14" s="45"/>
      <c r="N14" s="46" t="str">
        <f t="shared" si="2"/>
        <v xml:space="preserve"> </v>
      </c>
      <c r="O14" s="47"/>
      <c r="P14" s="48"/>
      <c r="Q14" s="49"/>
    </row>
    <row r="15" spans="1:17" ht="15" customHeight="1" x14ac:dyDescent="0.15">
      <c r="A15" s="15"/>
      <c r="B15" s="13" t="str">
        <f t="shared" si="0"/>
        <v/>
      </c>
      <c r="C15" s="14">
        <f t="shared" si="1"/>
        <v>45908</v>
      </c>
      <c r="D15" s="40"/>
      <c r="E15" s="41"/>
      <c r="F15" s="42"/>
      <c r="G15" s="43"/>
      <c r="H15" s="44"/>
      <c r="I15" s="82"/>
      <c r="J15" s="83"/>
      <c r="K15" s="84"/>
      <c r="L15" s="85"/>
      <c r="M15" s="45"/>
      <c r="N15" s="46" t="str">
        <f t="shared" si="2"/>
        <v xml:space="preserve"> </v>
      </c>
      <c r="O15" s="47"/>
      <c r="P15" s="48"/>
      <c r="Q15" s="49"/>
    </row>
    <row r="16" spans="1:17" ht="15" customHeight="1" x14ac:dyDescent="0.15">
      <c r="A16" s="15"/>
      <c r="B16" s="13" t="str">
        <f t="shared" si="0"/>
        <v/>
      </c>
      <c r="C16" s="14">
        <f t="shared" si="1"/>
        <v>45908</v>
      </c>
      <c r="D16" s="40"/>
      <c r="E16" s="41"/>
      <c r="F16" s="42"/>
      <c r="G16" s="43"/>
      <c r="H16" s="44"/>
      <c r="I16" s="82"/>
      <c r="J16" s="83"/>
      <c r="K16" s="86"/>
      <c r="L16" s="85"/>
      <c r="M16" s="45"/>
      <c r="N16" s="46" t="str">
        <f t="shared" si="2"/>
        <v xml:space="preserve"> </v>
      </c>
      <c r="O16" s="47"/>
      <c r="P16" s="48"/>
      <c r="Q16" s="49"/>
    </row>
    <row r="17" spans="1:17" ht="15" customHeight="1" x14ac:dyDescent="0.15">
      <c r="A17" s="15"/>
      <c r="B17" s="13" t="str">
        <f t="shared" si="0"/>
        <v/>
      </c>
      <c r="C17" s="14">
        <f t="shared" si="1"/>
        <v>45908</v>
      </c>
      <c r="D17" s="40"/>
      <c r="E17" s="41"/>
      <c r="F17" s="42"/>
      <c r="G17" s="43"/>
      <c r="H17" s="44"/>
      <c r="I17" s="82"/>
      <c r="J17" s="83"/>
      <c r="K17" s="86"/>
      <c r="L17" s="85"/>
      <c r="M17" s="45"/>
      <c r="N17" s="46" t="str">
        <f t="shared" si="2"/>
        <v xml:space="preserve"> </v>
      </c>
      <c r="O17" s="47"/>
      <c r="P17" s="48"/>
      <c r="Q17" s="49"/>
    </row>
    <row r="18" spans="1:17" ht="15" customHeight="1" x14ac:dyDescent="0.15">
      <c r="A18" s="15"/>
      <c r="B18" s="13" t="str">
        <f t="shared" si="0"/>
        <v/>
      </c>
      <c r="C18" s="14">
        <f t="shared" si="1"/>
        <v>45908</v>
      </c>
      <c r="D18" s="40"/>
      <c r="E18" s="41"/>
      <c r="F18" s="42"/>
      <c r="G18" s="43"/>
      <c r="H18" s="44"/>
      <c r="I18" s="82"/>
      <c r="J18" s="83"/>
      <c r="K18" s="86"/>
      <c r="L18" s="85"/>
      <c r="M18" s="45"/>
      <c r="N18" s="46" t="str">
        <f t="shared" si="2"/>
        <v xml:space="preserve"> </v>
      </c>
      <c r="O18" s="47"/>
      <c r="P18" s="48"/>
      <c r="Q18" s="49"/>
    </row>
    <row r="19" spans="1:17" ht="15" customHeight="1" x14ac:dyDescent="0.15">
      <c r="A19" s="15"/>
      <c r="B19" s="13" t="str">
        <f t="shared" si="0"/>
        <v/>
      </c>
      <c r="C19" s="14">
        <f t="shared" si="1"/>
        <v>45908</v>
      </c>
      <c r="D19" s="40"/>
      <c r="E19" s="41"/>
      <c r="F19" s="42"/>
      <c r="G19" s="43"/>
      <c r="H19" s="44"/>
      <c r="I19" s="82"/>
      <c r="J19" s="83"/>
      <c r="K19" s="86"/>
      <c r="L19" s="85"/>
      <c r="M19" s="45"/>
      <c r="N19" s="46" t="str">
        <f t="shared" si="2"/>
        <v xml:space="preserve"> </v>
      </c>
      <c r="O19" s="47"/>
      <c r="P19" s="48"/>
      <c r="Q19" s="49"/>
    </row>
    <row r="20" spans="1:17" ht="15" customHeight="1" x14ac:dyDescent="0.15">
      <c r="A20" s="15"/>
      <c r="B20" s="13" t="str">
        <f t="shared" si="0"/>
        <v/>
      </c>
      <c r="C20" s="14">
        <f t="shared" si="1"/>
        <v>45908</v>
      </c>
      <c r="D20" s="40"/>
      <c r="E20" s="41"/>
      <c r="F20" s="42"/>
      <c r="G20" s="43"/>
      <c r="H20" s="44"/>
      <c r="I20" s="82"/>
      <c r="J20" s="83"/>
      <c r="K20" s="86"/>
      <c r="L20" s="85"/>
      <c r="M20" s="45"/>
      <c r="N20" s="46" t="str">
        <f t="shared" si="2"/>
        <v xml:space="preserve"> </v>
      </c>
      <c r="O20" s="47"/>
      <c r="P20" s="48"/>
      <c r="Q20" s="49"/>
    </row>
    <row r="21" spans="1:17" ht="15" customHeight="1" x14ac:dyDescent="0.15">
      <c r="A21" s="50"/>
      <c r="B21" s="13" t="str">
        <f t="shared" si="0"/>
        <v/>
      </c>
      <c r="C21" s="14">
        <f t="shared" si="1"/>
        <v>45908</v>
      </c>
      <c r="D21" s="40"/>
      <c r="E21" s="41"/>
      <c r="F21" s="42"/>
      <c r="G21" s="43"/>
      <c r="H21" s="44"/>
      <c r="I21" s="82"/>
      <c r="J21" s="83"/>
      <c r="K21" s="86"/>
      <c r="L21" s="85"/>
      <c r="M21" s="45"/>
      <c r="N21" s="46" t="str">
        <f t="shared" si="2"/>
        <v xml:space="preserve"> </v>
      </c>
      <c r="O21" s="47"/>
      <c r="P21" s="48"/>
      <c r="Q21" s="49"/>
    </row>
    <row r="22" spans="1:17" ht="15" customHeight="1" x14ac:dyDescent="0.15">
      <c r="A22" s="12" t="str">
        <f>UPPER(TEXT(A12,"mmmm"))</f>
        <v>SEPTEMBRE</v>
      </c>
      <c r="B22" s="13" t="str">
        <f t="shared" si="0"/>
        <v/>
      </c>
      <c r="C22" s="14">
        <f t="shared" si="1"/>
        <v>45908</v>
      </c>
      <c r="D22" s="40"/>
      <c r="E22" s="41"/>
      <c r="F22" s="42"/>
      <c r="G22" s="43"/>
      <c r="H22" s="44"/>
      <c r="I22" s="82"/>
      <c r="J22" s="83"/>
      <c r="K22" s="86"/>
      <c r="L22" s="85"/>
      <c r="M22" s="45"/>
      <c r="N22" s="46" t="str">
        <f t="shared" si="2"/>
        <v xml:space="preserve"> </v>
      </c>
      <c r="O22" s="47"/>
      <c r="P22" s="48"/>
      <c r="Q22" s="49"/>
    </row>
    <row r="23" spans="1:17" ht="15" customHeight="1" thickBot="1" x14ac:dyDescent="0.2">
      <c r="A23" s="17"/>
      <c r="B23" s="17" t="str">
        <f>IF(ISBLANK(K23),"",K23)</f>
        <v/>
      </c>
      <c r="C23" s="17"/>
      <c r="D23" s="51"/>
      <c r="E23" s="52"/>
      <c r="F23" s="53"/>
      <c r="G23" s="54"/>
      <c r="H23" s="54"/>
      <c r="I23" s="87"/>
      <c r="J23" s="88"/>
      <c r="K23" s="89"/>
      <c r="L23" s="90"/>
      <c r="M23" s="55"/>
      <c r="N23" s="56"/>
      <c r="O23" s="57"/>
      <c r="P23" s="58"/>
      <c r="Q23" s="59"/>
    </row>
    <row r="24" spans="1:17" ht="15" customHeight="1" x14ac:dyDescent="0.15">
      <c r="A24" s="11"/>
      <c r="B24" s="11" t="str">
        <f>IF(ISBLANK(K24),"",K24)</f>
        <v/>
      </c>
      <c r="C24" s="11"/>
      <c r="D24" s="31"/>
      <c r="E24" s="32"/>
      <c r="F24" s="33"/>
      <c r="G24" s="34"/>
      <c r="H24" s="34"/>
      <c r="I24" s="78"/>
      <c r="J24" s="79"/>
      <c r="K24" s="80"/>
      <c r="L24" s="81"/>
      <c r="M24" s="35"/>
      <c r="N24" s="36"/>
      <c r="O24" s="37"/>
      <c r="P24" s="38"/>
      <c r="Q24" s="39"/>
    </row>
    <row r="25" spans="1:17" ht="15" customHeight="1" x14ac:dyDescent="0.15">
      <c r="A25" s="12" t="str">
        <f>UPPER(TEXT((A1+1),"jjjj"))</f>
        <v>MARDI</v>
      </c>
      <c r="B25" s="13" t="str">
        <f>IF(ISBLANK(K25),"",K25)</f>
        <v/>
      </c>
      <c r="C25" s="14">
        <f>$A$33</f>
        <v>45909</v>
      </c>
      <c r="D25" s="40"/>
      <c r="E25" s="41"/>
      <c r="F25" s="60"/>
      <c r="G25" s="43"/>
      <c r="H25" s="44"/>
      <c r="I25" s="82"/>
      <c r="J25" s="83"/>
      <c r="K25" s="84"/>
      <c r="L25" s="85"/>
      <c r="M25" s="45"/>
      <c r="N25" s="46" t="str">
        <f>IF(O25=""," ","COLIS PRÊT CDG")</f>
        <v xml:space="preserve"> </v>
      </c>
      <c r="O25" s="47"/>
      <c r="P25" s="48"/>
      <c r="Q25" s="49"/>
    </row>
    <row r="26" spans="1:17" ht="15" customHeight="1" x14ac:dyDescent="0.15">
      <c r="A26" s="15"/>
      <c r="B26" s="13" t="str">
        <f t="shared" ref="B26:B43" si="3">IF(ISBLANK(K26),"",K26)</f>
        <v/>
      </c>
      <c r="C26" s="14">
        <f t="shared" ref="C26:C43" si="4">$A$33</f>
        <v>45909</v>
      </c>
      <c r="D26" s="40"/>
      <c r="E26" s="41"/>
      <c r="F26" s="60"/>
      <c r="G26" s="43"/>
      <c r="H26" s="44"/>
      <c r="I26" s="82"/>
      <c r="J26" s="83"/>
      <c r="K26" s="84"/>
      <c r="L26" s="85"/>
      <c r="M26" s="45"/>
      <c r="N26" s="46" t="str">
        <f t="shared" ref="N26:N43" si="5">IF(O26=""," ","COLIS PRÊT CDG")</f>
        <v xml:space="preserve"> </v>
      </c>
      <c r="O26" s="47"/>
      <c r="P26" s="48"/>
      <c r="Q26" s="49"/>
    </row>
    <row r="27" spans="1:17" ht="15" customHeight="1" x14ac:dyDescent="0.15">
      <c r="A27" s="15"/>
      <c r="B27" s="13" t="str">
        <f t="shared" si="3"/>
        <v/>
      </c>
      <c r="C27" s="14">
        <f t="shared" si="4"/>
        <v>45909</v>
      </c>
      <c r="D27" s="40"/>
      <c r="E27" s="41"/>
      <c r="F27" s="60"/>
      <c r="G27" s="43"/>
      <c r="H27" s="44"/>
      <c r="I27" s="82"/>
      <c r="J27" s="83"/>
      <c r="K27" s="84"/>
      <c r="L27" s="85"/>
      <c r="M27" s="45"/>
      <c r="N27" s="46" t="str">
        <f t="shared" si="5"/>
        <v xml:space="preserve"> </v>
      </c>
      <c r="O27" s="47"/>
      <c r="P27" s="48"/>
      <c r="Q27" s="49"/>
    </row>
    <row r="28" spans="1:17" ht="15" customHeight="1" x14ac:dyDescent="0.15">
      <c r="A28" s="15"/>
      <c r="B28" s="13" t="str">
        <f t="shared" si="3"/>
        <v/>
      </c>
      <c r="C28" s="14">
        <f t="shared" si="4"/>
        <v>45909</v>
      </c>
      <c r="D28" s="40"/>
      <c r="E28" s="41"/>
      <c r="F28" s="60"/>
      <c r="G28" s="43"/>
      <c r="H28" s="44"/>
      <c r="I28" s="82"/>
      <c r="J28" s="83"/>
      <c r="K28" s="84"/>
      <c r="L28" s="85"/>
      <c r="M28" s="45"/>
      <c r="N28" s="46" t="str">
        <f t="shared" si="5"/>
        <v xml:space="preserve"> </v>
      </c>
      <c r="O28" s="47"/>
      <c r="P28" s="48"/>
      <c r="Q28" s="49"/>
    </row>
    <row r="29" spans="1:17" ht="15" customHeight="1" x14ac:dyDescent="0.15">
      <c r="A29" s="15"/>
      <c r="B29" s="13" t="str">
        <f t="shared" si="3"/>
        <v/>
      </c>
      <c r="C29" s="14">
        <f t="shared" si="4"/>
        <v>45909</v>
      </c>
      <c r="D29" s="40"/>
      <c r="E29" s="41"/>
      <c r="F29" s="60"/>
      <c r="G29" s="43"/>
      <c r="H29" s="44"/>
      <c r="I29" s="82"/>
      <c r="J29" s="83"/>
      <c r="K29" s="84"/>
      <c r="L29" s="85"/>
      <c r="M29" s="45"/>
      <c r="N29" s="46" t="str">
        <f t="shared" si="5"/>
        <v xml:space="preserve"> </v>
      </c>
      <c r="O29" s="47"/>
      <c r="P29" s="48"/>
      <c r="Q29" s="49"/>
    </row>
    <row r="30" spans="1:17" ht="15" customHeight="1" x14ac:dyDescent="0.15">
      <c r="A30" s="15"/>
      <c r="B30" s="13" t="str">
        <f t="shared" si="3"/>
        <v/>
      </c>
      <c r="C30" s="14">
        <f t="shared" si="4"/>
        <v>45909</v>
      </c>
      <c r="D30" s="40"/>
      <c r="E30" s="41"/>
      <c r="F30" s="60"/>
      <c r="G30" s="43"/>
      <c r="H30" s="44"/>
      <c r="I30" s="82"/>
      <c r="J30" s="83"/>
      <c r="K30" s="84"/>
      <c r="L30" s="85"/>
      <c r="M30" s="45"/>
      <c r="N30" s="46" t="str">
        <f t="shared" si="5"/>
        <v xml:space="preserve"> </v>
      </c>
      <c r="O30" s="47"/>
      <c r="P30" s="48"/>
      <c r="Q30" s="49"/>
    </row>
    <row r="31" spans="1:17" ht="15" customHeight="1" x14ac:dyDescent="0.15">
      <c r="A31" s="15"/>
      <c r="B31" s="13" t="str">
        <f t="shared" si="3"/>
        <v/>
      </c>
      <c r="C31" s="14">
        <f t="shared" si="4"/>
        <v>45909</v>
      </c>
      <c r="D31" s="40"/>
      <c r="E31" s="41"/>
      <c r="F31" s="60"/>
      <c r="G31" s="43"/>
      <c r="H31" s="44"/>
      <c r="I31" s="82"/>
      <c r="J31" s="83"/>
      <c r="K31" s="84"/>
      <c r="L31" s="85"/>
      <c r="M31" s="45"/>
      <c r="N31" s="46" t="str">
        <f t="shared" si="5"/>
        <v xml:space="preserve"> </v>
      </c>
      <c r="O31" s="47"/>
      <c r="P31" s="48"/>
      <c r="Q31" s="49"/>
    </row>
    <row r="32" spans="1:17" ht="15" customHeight="1" x14ac:dyDescent="0.15">
      <c r="A32" s="15"/>
      <c r="B32" s="13" t="str">
        <f t="shared" si="3"/>
        <v/>
      </c>
      <c r="C32" s="14">
        <f t="shared" si="4"/>
        <v>45909</v>
      </c>
      <c r="D32" s="40"/>
      <c r="E32" s="41"/>
      <c r="F32" s="60"/>
      <c r="G32" s="43"/>
      <c r="H32" s="44"/>
      <c r="I32" s="82"/>
      <c r="J32" s="83"/>
      <c r="K32" s="84"/>
      <c r="L32" s="85"/>
      <c r="M32" s="45"/>
      <c r="N32" s="46" t="str">
        <f t="shared" si="5"/>
        <v xml:space="preserve"> </v>
      </c>
      <c r="O32" s="47"/>
      <c r="P32" s="48"/>
      <c r="Q32" s="49"/>
    </row>
    <row r="33" spans="1:17" ht="15" customHeight="1" x14ac:dyDescent="0.15">
      <c r="A33" s="16">
        <f>A1+1</f>
        <v>45909</v>
      </c>
      <c r="B33" s="13" t="str">
        <f t="shared" si="3"/>
        <v/>
      </c>
      <c r="C33" s="14">
        <f t="shared" si="4"/>
        <v>45909</v>
      </c>
      <c r="D33" s="40"/>
      <c r="E33" s="41"/>
      <c r="F33" s="60"/>
      <c r="G33" s="43"/>
      <c r="H33" s="44"/>
      <c r="I33" s="82"/>
      <c r="J33" s="83"/>
      <c r="K33" s="84"/>
      <c r="L33" s="85"/>
      <c r="M33" s="45"/>
      <c r="N33" s="46" t="str">
        <f t="shared" si="5"/>
        <v xml:space="preserve"> </v>
      </c>
      <c r="O33" s="47"/>
      <c r="P33" s="48"/>
      <c r="Q33" s="49"/>
    </row>
    <row r="34" spans="1:17" ht="15" customHeight="1" x14ac:dyDescent="0.15">
      <c r="A34" s="15"/>
      <c r="B34" s="13" t="str">
        <f t="shared" si="3"/>
        <v/>
      </c>
      <c r="C34" s="14">
        <f t="shared" si="4"/>
        <v>45909</v>
      </c>
      <c r="D34" s="40"/>
      <c r="E34" s="41"/>
      <c r="F34" s="60"/>
      <c r="G34" s="43"/>
      <c r="H34" s="44"/>
      <c r="I34" s="82"/>
      <c r="J34" s="83"/>
      <c r="K34" s="84"/>
      <c r="L34" s="85"/>
      <c r="M34" s="45"/>
      <c r="N34" s="46" t="str">
        <f t="shared" si="5"/>
        <v xml:space="preserve"> </v>
      </c>
      <c r="O34" s="47"/>
      <c r="P34" s="48"/>
      <c r="Q34" s="49"/>
    </row>
    <row r="35" spans="1:17" ht="15" customHeight="1" x14ac:dyDescent="0.15">
      <c r="A35" s="15"/>
      <c r="B35" s="13" t="str">
        <f t="shared" si="3"/>
        <v/>
      </c>
      <c r="C35" s="14">
        <f t="shared" si="4"/>
        <v>45909</v>
      </c>
      <c r="D35" s="40"/>
      <c r="E35" s="41"/>
      <c r="F35" s="60"/>
      <c r="G35" s="43"/>
      <c r="H35" s="44"/>
      <c r="I35" s="82"/>
      <c r="J35" s="83"/>
      <c r="K35" s="84"/>
      <c r="L35" s="85"/>
      <c r="M35" s="45"/>
      <c r="N35" s="46" t="str">
        <f t="shared" si="5"/>
        <v xml:space="preserve"> </v>
      </c>
      <c r="O35" s="47"/>
      <c r="P35" s="48"/>
      <c r="Q35" s="49"/>
    </row>
    <row r="36" spans="1:17" ht="15" customHeight="1" x14ac:dyDescent="0.15">
      <c r="A36" s="15"/>
      <c r="B36" s="13" t="str">
        <f t="shared" si="3"/>
        <v/>
      </c>
      <c r="C36" s="14">
        <f t="shared" si="4"/>
        <v>45909</v>
      </c>
      <c r="D36" s="40"/>
      <c r="E36" s="41"/>
      <c r="F36" s="60"/>
      <c r="G36" s="43"/>
      <c r="H36" s="44"/>
      <c r="I36" s="82"/>
      <c r="J36" s="83"/>
      <c r="K36" s="84"/>
      <c r="L36" s="85"/>
      <c r="M36" s="45"/>
      <c r="N36" s="46" t="str">
        <f t="shared" si="5"/>
        <v xml:space="preserve"> </v>
      </c>
      <c r="O36" s="47"/>
      <c r="P36" s="48"/>
      <c r="Q36" s="49"/>
    </row>
    <row r="37" spans="1:17" ht="15" customHeight="1" x14ac:dyDescent="0.15">
      <c r="A37" s="15"/>
      <c r="B37" s="13" t="str">
        <f t="shared" si="3"/>
        <v/>
      </c>
      <c r="C37" s="14">
        <f t="shared" si="4"/>
        <v>45909</v>
      </c>
      <c r="D37" s="40"/>
      <c r="E37" s="41"/>
      <c r="F37" s="60"/>
      <c r="G37" s="43"/>
      <c r="H37" s="44"/>
      <c r="I37" s="82"/>
      <c r="J37" s="83"/>
      <c r="K37" s="84"/>
      <c r="L37" s="85"/>
      <c r="M37" s="45"/>
      <c r="N37" s="46" t="str">
        <f t="shared" si="5"/>
        <v xml:space="preserve"> </v>
      </c>
      <c r="O37" s="47"/>
      <c r="P37" s="48"/>
      <c r="Q37" s="49"/>
    </row>
    <row r="38" spans="1:17" ht="15" customHeight="1" x14ac:dyDescent="0.15">
      <c r="A38" s="15"/>
      <c r="B38" s="13" t="str">
        <f t="shared" si="3"/>
        <v/>
      </c>
      <c r="C38" s="14">
        <f t="shared" si="4"/>
        <v>45909</v>
      </c>
      <c r="D38" s="40"/>
      <c r="E38" s="41"/>
      <c r="F38" s="60"/>
      <c r="G38" s="43"/>
      <c r="H38" s="44"/>
      <c r="I38" s="82"/>
      <c r="J38" s="83"/>
      <c r="K38" s="84"/>
      <c r="L38" s="85"/>
      <c r="M38" s="45"/>
      <c r="N38" s="46" t="str">
        <f t="shared" si="5"/>
        <v xml:space="preserve"> </v>
      </c>
      <c r="O38" s="47"/>
      <c r="P38" s="48"/>
      <c r="Q38" s="49"/>
    </row>
    <row r="39" spans="1:17" ht="15" customHeight="1" x14ac:dyDescent="0.15">
      <c r="A39" s="15"/>
      <c r="B39" s="13" t="str">
        <f t="shared" si="3"/>
        <v/>
      </c>
      <c r="C39" s="14">
        <f t="shared" si="4"/>
        <v>45909</v>
      </c>
      <c r="D39" s="40"/>
      <c r="E39" s="41"/>
      <c r="F39" s="60"/>
      <c r="G39" s="43"/>
      <c r="H39" s="44"/>
      <c r="I39" s="82"/>
      <c r="J39" s="83"/>
      <c r="K39" s="86"/>
      <c r="L39" s="85"/>
      <c r="M39" s="45"/>
      <c r="N39" s="46" t="str">
        <f t="shared" si="5"/>
        <v xml:space="preserve"> </v>
      </c>
      <c r="O39" s="47"/>
      <c r="P39" s="48"/>
      <c r="Q39" s="49"/>
    </row>
    <row r="40" spans="1:17" ht="15" customHeight="1" x14ac:dyDescent="0.15">
      <c r="A40" s="15"/>
      <c r="B40" s="13" t="str">
        <f t="shared" si="3"/>
        <v/>
      </c>
      <c r="C40" s="14">
        <f t="shared" si="4"/>
        <v>45909</v>
      </c>
      <c r="D40" s="40"/>
      <c r="E40" s="41"/>
      <c r="F40" s="60"/>
      <c r="G40" s="43"/>
      <c r="H40" s="44"/>
      <c r="I40" s="82"/>
      <c r="J40" s="83"/>
      <c r="K40" s="86"/>
      <c r="L40" s="85"/>
      <c r="M40" s="45"/>
      <c r="N40" s="46" t="str">
        <f t="shared" si="5"/>
        <v xml:space="preserve"> </v>
      </c>
      <c r="O40" s="47"/>
      <c r="P40" s="48"/>
      <c r="Q40" s="49"/>
    </row>
    <row r="41" spans="1:17" ht="15" customHeight="1" x14ac:dyDescent="0.15">
      <c r="A41" s="15"/>
      <c r="B41" s="13" t="str">
        <f t="shared" si="3"/>
        <v/>
      </c>
      <c r="C41" s="14">
        <f t="shared" si="4"/>
        <v>45909</v>
      </c>
      <c r="D41" s="40"/>
      <c r="E41" s="41"/>
      <c r="F41" s="60"/>
      <c r="G41" s="43"/>
      <c r="H41" s="44"/>
      <c r="I41" s="82"/>
      <c r="J41" s="83"/>
      <c r="K41" s="86"/>
      <c r="L41" s="85"/>
      <c r="M41" s="45"/>
      <c r="N41" s="46" t="str">
        <f t="shared" si="5"/>
        <v xml:space="preserve"> </v>
      </c>
      <c r="O41" s="47"/>
      <c r="P41" s="48"/>
      <c r="Q41" s="49"/>
    </row>
    <row r="42" spans="1:17" ht="15" customHeight="1" x14ac:dyDescent="0.15">
      <c r="A42" s="50"/>
      <c r="B42" s="13" t="str">
        <f t="shared" si="3"/>
        <v/>
      </c>
      <c r="C42" s="14">
        <f t="shared" si="4"/>
        <v>45909</v>
      </c>
      <c r="D42" s="40"/>
      <c r="E42" s="41"/>
      <c r="F42" s="60"/>
      <c r="G42" s="43"/>
      <c r="H42" s="44"/>
      <c r="I42" s="82"/>
      <c r="J42" s="83"/>
      <c r="K42" s="86"/>
      <c r="L42" s="85"/>
      <c r="M42" s="45"/>
      <c r="N42" s="46" t="str">
        <f t="shared" si="5"/>
        <v xml:space="preserve"> </v>
      </c>
      <c r="O42" s="47"/>
      <c r="P42" s="48"/>
      <c r="Q42" s="49"/>
    </row>
    <row r="43" spans="1:17" ht="15" customHeight="1" x14ac:dyDescent="0.15">
      <c r="A43" s="12" t="str">
        <f>UPPER(TEXT((A1+1),"mmmm"))</f>
        <v>SEPTEMBRE</v>
      </c>
      <c r="B43" s="13" t="str">
        <f t="shared" si="3"/>
        <v/>
      </c>
      <c r="C43" s="14">
        <f t="shared" si="4"/>
        <v>45909</v>
      </c>
      <c r="D43" s="40"/>
      <c r="E43" s="41"/>
      <c r="F43" s="60"/>
      <c r="G43" s="43"/>
      <c r="H43" s="44"/>
      <c r="I43" s="82"/>
      <c r="J43" s="83"/>
      <c r="K43" s="86"/>
      <c r="L43" s="85"/>
      <c r="M43" s="45"/>
      <c r="N43" s="46" t="str">
        <f t="shared" si="5"/>
        <v xml:space="preserve"> </v>
      </c>
      <c r="O43" s="47"/>
      <c r="P43" s="48"/>
      <c r="Q43" s="49"/>
    </row>
    <row r="44" spans="1:17" ht="15" customHeight="1" thickBot="1" x14ac:dyDescent="0.2">
      <c r="A44" s="17"/>
      <c r="B44" s="17" t="str">
        <f>IF(ISBLANK(K44),"",K44)</f>
        <v/>
      </c>
      <c r="C44" s="17"/>
      <c r="D44" s="51"/>
      <c r="E44" s="52"/>
      <c r="F44" s="53"/>
      <c r="G44" s="54"/>
      <c r="H44" s="54"/>
      <c r="I44" s="87"/>
      <c r="J44" s="88"/>
      <c r="K44" s="89"/>
      <c r="L44" s="90"/>
      <c r="M44" s="55"/>
      <c r="N44" s="56"/>
      <c r="O44" s="57"/>
      <c r="P44" s="58"/>
      <c r="Q44" s="59"/>
    </row>
    <row r="45" spans="1:17" ht="15" customHeight="1" x14ac:dyDescent="0.15">
      <c r="A45" s="11"/>
      <c r="B45" s="11" t="str">
        <f>IF(ISBLANK(K45),"",K45)</f>
        <v/>
      </c>
      <c r="C45" s="11"/>
      <c r="D45" s="31"/>
      <c r="E45" s="32"/>
      <c r="F45" s="33"/>
      <c r="G45" s="34"/>
      <c r="H45" s="34"/>
      <c r="I45" s="78"/>
      <c r="J45" s="79"/>
      <c r="K45" s="80"/>
      <c r="L45" s="81"/>
      <c r="M45" s="35"/>
      <c r="N45" s="36"/>
      <c r="O45" s="37"/>
      <c r="P45" s="38"/>
      <c r="Q45" s="39"/>
    </row>
    <row r="46" spans="1:17" ht="15" customHeight="1" x14ac:dyDescent="0.15">
      <c r="A46" s="12" t="str">
        <f>UPPER(TEXT((A1+2),"jjjj"))</f>
        <v>MERCREDI</v>
      </c>
      <c r="B46" s="13" t="str">
        <f>IF(ISBLANK(K46),"",K46)</f>
        <v/>
      </c>
      <c r="C46" s="14">
        <f>$A$54</f>
        <v>45910</v>
      </c>
      <c r="D46" s="40"/>
      <c r="E46" s="41"/>
      <c r="F46" s="60"/>
      <c r="G46" s="43"/>
      <c r="H46" s="44"/>
      <c r="I46" s="82"/>
      <c r="J46" s="83"/>
      <c r="K46" s="84"/>
      <c r="L46" s="85"/>
      <c r="M46" s="45"/>
      <c r="N46" s="46" t="str">
        <f>IF(O46=""," ","COLIS PRÊT CDG")</f>
        <v xml:space="preserve"> </v>
      </c>
      <c r="O46" s="47"/>
      <c r="P46" s="48"/>
      <c r="Q46" s="49"/>
    </row>
    <row r="47" spans="1:17" ht="15" customHeight="1" x14ac:dyDescent="0.15">
      <c r="A47" s="15"/>
      <c r="B47" s="13" t="str">
        <f t="shared" ref="B47:B64" si="6">IF(ISBLANK(K47),"",K47)</f>
        <v/>
      </c>
      <c r="C47" s="14">
        <f t="shared" ref="C47:C64" si="7">$A$54</f>
        <v>45910</v>
      </c>
      <c r="D47" s="40"/>
      <c r="E47" s="41"/>
      <c r="F47" s="60"/>
      <c r="G47" s="43"/>
      <c r="H47" s="44"/>
      <c r="I47" s="82"/>
      <c r="J47" s="83"/>
      <c r="K47" s="84"/>
      <c r="L47" s="85"/>
      <c r="M47" s="45"/>
      <c r="N47" s="46" t="str">
        <f t="shared" ref="N47:N64" si="8">IF(O47=""," ","COLIS PRÊT CDG")</f>
        <v xml:space="preserve"> </v>
      </c>
      <c r="O47" s="47"/>
      <c r="P47" s="48"/>
      <c r="Q47" s="49"/>
    </row>
    <row r="48" spans="1:17" ht="15" customHeight="1" x14ac:dyDescent="0.15">
      <c r="A48" s="15"/>
      <c r="B48" s="13" t="str">
        <f t="shared" si="6"/>
        <v/>
      </c>
      <c r="C48" s="14">
        <f t="shared" si="7"/>
        <v>45910</v>
      </c>
      <c r="D48" s="40"/>
      <c r="E48" s="41"/>
      <c r="F48" s="60"/>
      <c r="G48" s="43"/>
      <c r="H48" s="44"/>
      <c r="I48" s="82"/>
      <c r="J48" s="83"/>
      <c r="K48" s="84"/>
      <c r="L48" s="85"/>
      <c r="M48" s="45"/>
      <c r="N48" s="46" t="str">
        <f t="shared" si="8"/>
        <v xml:space="preserve"> </v>
      </c>
      <c r="O48" s="47"/>
      <c r="P48" s="48"/>
      <c r="Q48" s="49"/>
    </row>
    <row r="49" spans="1:17" ht="15" customHeight="1" x14ac:dyDescent="0.15">
      <c r="A49" s="15"/>
      <c r="B49" s="13" t="str">
        <f t="shared" si="6"/>
        <v/>
      </c>
      <c r="C49" s="14">
        <f t="shared" si="7"/>
        <v>45910</v>
      </c>
      <c r="D49" s="40"/>
      <c r="E49" s="41"/>
      <c r="F49" s="60"/>
      <c r="G49" s="43"/>
      <c r="H49" s="44"/>
      <c r="I49" s="82"/>
      <c r="J49" s="83"/>
      <c r="K49" s="84"/>
      <c r="L49" s="85"/>
      <c r="M49" s="45"/>
      <c r="N49" s="46" t="str">
        <f t="shared" si="8"/>
        <v xml:space="preserve"> </v>
      </c>
      <c r="O49" s="47"/>
      <c r="P49" s="48"/>
      <c r="Q49" s="49"/>
    </row>
    <row r="50" spans="1:17" ht="15" customHeight="1" x14ac:dyDescent="0.15">
      <c r="A50" s="15"/>
      <c r="B50" s="13" t="str">
        <f t="shared" si="6"/>
        <v/>
      </c>
      <c r="C50" s="14">
        <f t="shared" si="7"/>
        <v>45910</v>
      </c>
      <c r="D50" s="40"/>
      <c r="E50" s="41"/>
      <c r="F50" s="60"/>
      <c r="G50" s="43"/>
      <c r="H50" s="44"/>
      <c r="I50" s="82"/>
      <c r="J50" s="83"/>
      <c r="K50" s="84"/>
      <c r="L50" s="85"/>
      <c r="M50" s="45"/>
      <c r="N50" s="46" t="str">
        <f t="shared" si="8"/>
        <v xml:space="preserve"> </v>
      </c>
      <c r="O50" s="47"/>
      <c r="P50" s="48"/>
      <c r="Q50" s="49"/>
    </row>
    <row r="51" spans="1:17" ht="15" customHeight="1" x14ac:dyDescent="0.15">
      <c r="A51" s="15"/>
      <c r="B51" s="13" t="str">
        <f t="shared" si="6"/>
        <v/>
      </c>
      <c r="C51" s="14">
        <f t="shared" si="7"/>
        <v>45910</v>
      </c>
      <c r="D51" s="40"/>
      <c r="E51" s="41"/>
      <c r="F51" s="60"/>
      <c r="G51" s="43"/>
      <c r="H51" s="44"/>
      <c r="I51" s="82"/>
      <c r="J51" s="83"/>
      <c r="K51" s="84"/>
      <c r="L51" s="85"/>
      <c r="M51" s="45"/>
      <c r="N51" s="46" t="str">
        <f t="shared" si="8"/>
        <v xml:space="preserve"> </v>
      </c>
      <c r="O51" s="47"/>
      <c r="P51" s="48"/>
      <c r="Q51" s="49"/>
    </row>
    <row r="52" spans="1:17" ht="15" customHeight="1" x14ac:dyDescent="0.15">
      <c r="A52" s="15"/>
      <c r="B52" s="13" t="str">
        <f t="shared" si="6"/>
        <v/>
      </c>
      <c r="C52" s="14">
        <f t="shared" si="7"/>
        <v>45910</v>
      </c>
      <c r="D52" s="40"/>
      <c r="E52" s="41"/>
      <c r="F52" s="60"/>
      <c r="G52" s="43"/>
      <c r="H52" s="44"/>
      <c r="I52" s="82"/>
      <c r="J52" s="83"/>
      <c r="K52" s="86"/>
      <c r="L52" s="85"/>
      <c r="M52" s="45"/>
      <c r="N52" s="46" t="str">
        <f t="shared" si="8"/>
        <v xml:space="preserve"> </v>
      </c>
      <c r="O52" s="47"/>
      <c r="P52" s="48"/>
      <c r="Q52" s="49"/>
    </row>
    <row r="53" spans="1:17" ht="15" customHeight="1" x14ac:dyDescent="0.15">
      <c r="A53" s="15"/>
      <c r="B53" s="13" t="str">
        <f t="shared" si="6"/>
        <v/>
      </c>
      <c r="C53" s="14">
        <f t="shared" si="7"/>
        <v>45910</v>
      </c>
      <c r="D53" s="40"/>
      <c r="E53" s="41"/>
      <c r="F53" s="60"/>
      <c r="G53" s="43"/>
      <c r="H53" s="44"/>
      <c r="I53" s="82"/>
      <c r="J53" s="83"/>
      <c r="K53" s="86"/>
      <c r="L53" s="85"/>
      <c r="M53" s="45"/>
      <c r="N53" s="46" t="str">
        <f t="shared" si="8"/>
        <v xml:space="preserve"> </v>
      </c>
      <c r="O53" s="47"/>
      <c r="P53" s="48"/>
      <c r="Q53" s="49"/>
    </row>
    <row r="54" spans="1:17" ht="15" customHeight="1" x14ac:dyDescent="0.15">
      <c r="A54" s="16">
        <f>A1+2</f>
        <v>45910</v>
      </c>
      <c r="B54" s="13" t="str">
        <f t="shared" si="6"/>
        <v/>
      </c>
      <c r="C54" s="14">
        <f t="shared" si="7"/>
        <v>45910</v>
      </c>
      <c r="D54" s="40"/>
      <c r="E54" s="41"/>
      <c r="F54" s="60"/>
      <c r="G54" s="43"/>
      <c r="H54" s="44"/>
      <c r="I54" s="82"/>
      <c r="J54" s="83"/>
      <c r="K54" s="86"/>
      <c r="L54" s="85"/>
      <c r="M54" s="45"/>
      <c r="N54" s="46" t="str">
        <f t="shared" si="8"/>
        <v xml:space="preserve"> </v>
      </c>
      <c r="O54" s="47"/>
      <c r="P54" s="48"/>
      <c r="Q54" s="49"/>
    </row>
    <row r="55" spans="1:17" ht="15" customHeight="1" x14ac:dyDescent="0.15">
      <c r="A55" s="15"/>
      <c r="B55" s="13" t="str">
        <f t="shared" si="6"/>
        <v/>
      </c>
      <c r="C55" s="14">
        <f t="shared" si="7"/>
        <v>45910</v>
      </c>
      <c r="D55" s="40"/>
      <c r="E55" s="41"/>
      <c r="F55" s="60"/>
      <c r="G55" s="43"/>
      <c r="H55" s="44"/>
      <c r="I55" s="82"/>
      <c r="J55" s="83"/>
      <c r="K55" s="86"/>
      <c r="L55" s="85"/>
      <c r="M55" s="45"/>
      <c r="N55" s="46" t="str">
        <f t="shared" si="8"/>
        <v xml:space="preserve"> </v>
      </c>
      <c r="O55" s="47"/>
      <c r="P55" s="48"/>
      <c r="Q55" s="49"/>
    </row>
    <row r="56" spans="1:17" ht="15" customHeight="1" x14ac:dyDescent="0.15">
      <c r="A56" s="15"/>
      <c r="B56" s="13" t="str">
        <f t="shared" si="6"/>
        <v/>
      </c>
      <c r="C56" s="14">
        <f t="shared" si="7"/>
        <v>45910</v>
      </c>
      <c r="D56" s="40"/>
      <c r="E56" s="41"/>
      <c r="F56" s="60"/>
      <c r="G56" s="43"/>
      <c r="H56" s="44"/>
      <c r="I56" s="82"/>
      <c r="J56" s="83"/>
      <c r="K56" s="86"/>
      <c r="L56" s="85"/>
      <c r="M56" s="45"/>
      <c r="N56" s="46" t="str">
        <f t="shared" si="8"/>
        <v xml:space="preserve"> </v>
      </c>
      <c r="O56" s="47"/>
      <c r="P56" s="48"/>
      <c r="Q56" s="49"/>
    </row>
    <row r="57" spans="1:17" ht="15" customHeight="1" x14ac:dyDescent="0.15">
      <c r="A57" s="15"/>
      <c r="B57" s="13" t="str">
        <f t="shared" si="6"/>
        <v/>
      </c>
      <c r="C57" s="14">
        <f t="shared" si="7"/>
        <v>45910</v>
      </c>
      <c r="D57" s="40"/>
      <c r="E57" s="41"/>
      <c r="F57" s="60"/>
      <c r="G57" s="43"/>
      <c r="H57" s="44"/>
      <c r="I57" s="82"/>
      <c r="J57" s="83"/>
      <c r="K57" s="86"/>
      <c r="L57" s="85"/>
      <c r="M57" s="45"/>
      <c r="N57" s="46" t="str">
        <f t="shared" si="8"/>
        <v xml:space="preserve"> </v>
      </c>
      <c r="O57" s="47"/>
      <c r="P57" s="48"/>
      <c r="Q57" s="49"/>
    </row>
    <row r="58" spans="1:17" ht="15" customHeight="1" x14ac:dyDescent="0.15">
      <c r="A58" s="15"/>
      <c r="B58" s="13" t="str">
        <f t="shared" si="6"/>
        <v/>
      </c>
      <c r="C58" s="14">
        <f t="shared" si="7"/>
        <v>45910</v>
      </c>
      <c r="D58" s="40"/>
      <c r="E58" s="41"/>
      <c r="F58" s="60"/>
      <c r="G58" s="43"/>
      <c r="H58" s="44"/>
      <c r="I58" s="82"/>
      <c r="J58" s="83"/>
      <c r="K58" s="86"/>
      <c r="L58" s="85"/>
      <c r="M58" s="45"/>
      <c r="N58" s="46" t="str">
        <f t="shared" si="8"/>
        <v xml:space="preserve"> </v>
      </c>
      <c r="O58" s="47"/>
      <c r="P58" s="48"/>
      <c r="Q58" s="49"/>
    </row>
    <row r="59" spans="1:17" ht="15" customHeight="1" x14ac:dyDescent="0.15">
      <c r="A59" s="15"/>
      <c r="B59" s="13" t="str">
        <f t="shared" si="6"/>
        <v/>
      </c>
      <c r="C59" s="14">
        <f t="shared" si="7"/>
        <v>45910</v>
      </c>
      <c r="D59" s="40"/>
      <c r="E59" s="41"/>
      <c r="F59" s="60"/>
      <c r="G59" s="43"/>
      <c r="H59" s="44"/>
      <c r="I59" s="82"/>
      <c r="J59" s="83"/>
      <c r="K59" s="86"/>
      <c r="L59" s="85"/>
      <c r="M59" s="45"/>
      <c r="N59" s="46" t="str">
        <f t="shared" si="8"/>
        <v xml:space="preserve"> </v>
      </c>
      <c r="O59" s="47"/>
      <c r="P59" s="48"/>
      <c r="Q59" s="49"/>
    </row>
    <row r="60" spans="1:17" ht="15" customHeight="1" x14ac:dyDescent="0.15">
      <c r="A60" s="15"/>
      <c r="B60" s="13" t="str">
        <f t="shared" si="6"/>
        <v/>
      </c>
      <c r="C60" s="14">
        <f t="shared" si="7"/>
        <v>45910</v>
      </c>
      <c r="D60" s="40"/>
      <c r="E60" s="41"/>
      <c r="F60" s="60"/>
      <c r="G60" s="43"/>
      <c r="H60" s="44"/>
      <c r="I60" s="82"/>
      <c r="J60" s="83"/>
      <c r="K60" s="86"/>
      <c r="L60" s="85"/>
      <c r="M60" s="45"/>
      <c r="N60" s="46" t="str">
        <f t="shared" si="8"/>
        <v xml:space="preserve"> </v>
      </c>
      <c r="O60" s="47"/>
      <c r="P60" s="48"/>
      <c r="Q60" s="49"/>
    </row>
    <row r="61" spans="1:17" ht="15" customHeight="1" x14ac:dyDescent="0.15">
      <c r="A61" s="15"/>
      <c r="B61" s="13" t="str">
        <f t="shared" si="6"/>
        <v/>
      </c>
      <c r="C61" s="14">
        <f t="shared" si="7"/>
        <v>45910</v>
      </c>
      <c r="D61" s="40"/>
      <c r="E61" s="41"/>
      <c r="F61" s="60"/>
      <c r="G61" s="43"/>
      <c r="H61" s="44"/>
      <c r="I61" s="82"/>
      <c r="J61" s="83"/>
      <c r="K61" s="86"/>
      <c r="L61" s="85"/>
      <c r="M61" s="45"/>
      <c r="N61" s="46" t="str">
        <f t="shared" si="8"/>
        <v xml:space="preserve"> </v>
      </c>
      <c r="O61" s="47"/>
      <c r="P61" s="48"/>
      <c r="Q61" s="49"/>
    </row>
    <row r="62" spans="1:17" ht="15" customHeight="1" x14ac:dyDescent="0.15">
      <c r="A62" s="15"/>
      <c r="B62" s="13" t="str">
        <f t="shared" si="6"/>
        <v/>
      </c>
      <c r="C62" s="14">
        <f t="shared" si="7"/>
        <v>45910</v>
      </c>
      <c r="D62" s="40"/>
      <c r="E62" s="41"/>
      <c r="F62" s="60"/>
      <c r="G62" s="43"/>
      <c r="H62" s="44"/>
      <c r="I62" s="82"/>
      <c r="J62" s="83"/>
      <c r="K62" s="86"/>
      <c r="L62" s="85"/>
      <c r="M62" s="45"/>
      <c r="N62" s="46" t="str">
        <f t="shared" si="8"/>
        <v xml:space="preserve"> </v>
      </c>
      <c r="O62" s="47"/>
      <c r="P62" s="48"/>
      <c r="Q62" s="49"/>
    </row>
    <row r="63" spans="1:17" ht="15" customHeight="1" x14ac:dyDescent="0.15">
      <c r="A63" s="50"/>
      <c r="B63" s="13" t="str">
        <f t="shared" si="6"/>
        <v/>
      </c>
      <c r="C63" s="14">
        <f t="shared" si="7"/>
        <v>45910</v>
      </c>
      <c r="D63" s="40"/>
      <c r="E63" s="41"/>
      <c r="F63" s="60"/>
      <c r="G63" s="43"/>
      <c r="H63" s="44"/>
      <c r="I63" s="82"/>
      <c r="J63" s="83"/>
      <c r="K63" s="86"/>
      <c r="L63" s="85"/>
      <c r="M63" s="45"/>
      <c r="N63" s="46" t="str">
        <f t="shared" si="8"/>
        <v xml:space="preserve"> </v>
      </c>
      <c r="O63" s="47"/>
      <c r="P63" s="48"/>
      <c r="Q63" s="49"/>
    </row>
    <row r="64" spans="1:17" ht="15" customHeight="1" x14ac:dyDescent="0.15">
      <c r="A64" s="12" t="str">
        <f>UPPER(TEXT((A1+2),"mmmm"))</f>
        <v>SEPTEMBRE</v>
      </c>
      <c r="B64" s="13" t="str">
        <f t="shared" si="6"/>
        <v/>
      </c>
      <c r="C64" s="14">
        <f t="shared" si="7"/>
        <v>45910</v>
      </c>
      <c r="D64" s="40"/>
      <c r="E64" s="41"/>
      <c r="F64" s="60"/>
      <c r="G64" s="43"/>
      <c r="H64" s="44"/>
      <c r="I64" s="82"/>
      <c r="J64" s="83"/>
      <c r="K64" s="86"/>
      <c r="L64" s="85"/>
      <c r="M64" s="45"/>
      <c r="N64" s="46" t="str">
        <f t="shared" si="8"/>
        <v xml:space="preserve"> </v>
      </c>
      <c r="O64" s="47"/>
      <c r="P64" s="48"/>
      <c r="Q64" s="49"/>
    </row>
    <row r="65" spans="1:17" ht="15" customHeight="1" thickBot="1" x14ac:dyDescent="0.2">
      <c r="A65" s="17"/>
      <c r="B65" s="17" t="str">
        <f>IF(ISBLANK(K65),"",K65)</f>
        <v/>
      </c>
      <c r="C65" s="17"/>
      <c r="D65" s="51"/>
      <c r="E65" s="52"/>
      <c r="F65" s="53"/>
      <c r="G65" s="54"/>
      <c r="H65" s="54"/>
      <c r="I65" s="87"/>
      <c r="J65" s="88"/>
      <c r="K65" s="89"/>
      <c r="L65" s="90"/>
      <c r="M65" s="55"/>
      <c r="N65" s="56"/>
      <c r="O65" s="57"/>
      <c r="P65" s="58"/>
      <c r="Q65" s="59"/>
    </row>
    <row r="66" spans="1:17" ht="15" customHeight="1" x14ac:dyDescent="0.15">
      <c r="A66" s="11"/>
      <c r="B66" s="11" t="str">
        <f>IF(ISBLANK(K66),"",K66)</f>
        <v/>
      </c>
      <c r="C66" s="11"/>
      <c r="D66" s="31"/>
      <c r="E66" s="32"/>
      <c r="F66" s="33"/>
      <c r="G66" s="34"/>
      <c r="H66" s="34"/>
      <c r="I66" s="78"/>
      <c r="J66" s="79"/>
      <c r="K66" s="80"/>
      <c r="L66" s="81"/>
      <c r="M66" s="35"/>
      <c r="N66" s="36"/>
      <c r="O66" s="37"/>
      <c r="P66" s="38"/>
      <c r="Q66" s="39"/>
    </row>
    <row r="67" spans="1:17" ht="15" customHeight="1" x14ac:dyDescent="0.15">
      <c r="A67" s="12" t="str">
        <f>UPPER(TEXT((A1+3),"jjjj"))</f>
        <v>JEUDI</v>
      </c>
      <c r="B67" s="13" t="str">
        <f>IF(ISBLANK(K67),"",K67)</f>
        <v/>
      </c>
      <c r="C67" s="14">
        <f>$A$75</f>
        <v>45911</v>
      </c>
      <c r="D67" s="40"/>
      <c r="E67" s="41"/>
      <c r="F67" s="60"/>
      <c r="G67" s="43"/>
      <c r="H67" s="44"/>
      <c r="I67" s="82"/>
      <c r="J67" s="83"/>
      <c r="K67" s="84"/>
      <c r="L67" s="85"/>
      <c r="M67" s="45"/>
      <c r="N67" s="46" t="str">
        <f>IF(O67=""," ","COLIS PRÊT CDG")</f>
        <v xml:space="preserve"> </v>
      </c>
      <c r="O67" s="47"/>
      <c r="P67" s="48"/>
      <c r="Q67" s="49"/>
    </row>
    <row r="68" spans="1:17" ht="15" customHeight="1" x14ac:dyDescent="0.15">
      <c r="A68" s="15"/>
      <c r="B68" s="13" t="str">
        <f t="shared" ref="B68:B85" si="9">IF(ISBLANK(K68),"",K68)</f>
        <v/>
      </c>
      <c r="C68" s="14">
        <f t="shared" ref="C68:C85" si="10">$A$75</f>
        <v>45911</v>
      </c>
      <c r="D68" s="40"/>
      <c r="E68" s="41"/>
      <c r="F68" s="60"/>
      <c r="G68" s="43"/>
      <c r="H68" s="44"/>
      <c r="I68" s="82"/>
      <c r="J68" s="83"/>
      <c r="K68" s="84"/>
      <c r="L68" s="85"/>
      <c r="M68" s="45"/>
      <c r="N68" s="46" t="str">
        <f t="shared" ref="N68:N85" si="11">IF(O68=""," ","COLIS PRÊT CDG")</f>
        <v xml:space="preserve"> </v>
      </c>
      <c r="O68" s="47"/>
      <c r="P68" s="48"/>
      <c r="Q68" s="49"/>
    </row>
    <row r="69" spans="1:17" ht="15" customHeight="1" x14ac:dyDescent="0.15">
      <c r="A69" s="15"/>
      <c r="B69" s="13" t="str">
        <f t="shared" si="9"/>
        <v/>
      </c>
      <c r="C69" s="14">
        <f t="shared" si="10"/>
        <v>45911</v>
      </c>
      <c r="D69" s="40"/>
      <c r="E69" s="41"/>
      <c r="F69" s="60"/>
      <c r="G69" s="43"/>
      <c r="H69" s="44"/>
      <c r="I69" s="82"/>
      <c r="J69" s="83"/>
      <c r="K69" s="84"/>
      <c r="L69" s="85"/>
      <c r="M69" s="45"/>
      <c r="N69" s="46" t="str">
        <f t="shared" si="11"/>
        <v xml:space="preserve"> </v>
      </c>
      <c r="O69" s="47"/>
      <c r="P69" s="48"/>
      <c r="Q69" s="49"/>
    </row>
    <row r="70" spans="1:17" ht="15" customHeight="1" x14ac:dyDescent="0.15">
      <c r="A70" s="15"/>
      <c r="B70" s="13" t="str">
        <f t="shared" si="9"/>
        <v/>
      </c>
      <c r="C70" s="14">
        <f t="shared" si="10"/>
        <v>45911</v>
      </c>
      <c r="D70" s="40"/>
      <c r="E70" s="41"/>
      <c r="F70" s="60"/>
      <c r="G70" s="43"/>
      <c r="H70" s="44"/>
      <c r="I70" s="82"/>
      <c r="J70" s="83"/>
      <c r="K70" s="84"/>
      <c r="L70" s="85"/>
      <c r="M70" s="45"/>
      <c r="N70" s="46" t="str">
        <f t="shared" si="11"/>
        <v xml:space="preserve"> </v>
      </c>
      <c r="O70" s="47"/>
      <c r="P70" s="48"/>
      <c r="Q70" s="49"/>
    </row>
    <row r="71" spans="1:17" ht="15" customHeight="1" x14ac:dyDescent="0.15">
      <c r="A71" s="15"/>
      <c r="B71" s="13" t="str">
        <f t="shared" si="9"/>
        <v/>
      </c>
      <c r="C71" s="14">
        <f t="shared" si="10"/>
        <v>45911</v>
      </c>
      <c r="D71" s="40"/>
      <c r="E71" s="41"/>
      <c r="F71" s="60"/>
      <c r="G71" s="43"/>
      <c r="H71" s="44"/>
      <c r="I71" s="82"/>
      <c r="J71" s="83"/>
      <c r="K71" s="84"/>
      <c r="L71" s="85"/>
      <c r="M71" s="45"/>
      <c r="N71" s="46" t="str">
        <f t="shared" si="11"/>
        <v xml:space="preserve"> </v>
      </c>
      <c r="O71" s="47"/>
      <c r="P71" s="48"/>
      <c r="Q71" s="49"/>
    </row>
    <row r="72" spans="1:17" ht="15" customHeight="1" x14ac:dyDescent="0.15">
      <c r="A72" s="15"/>
      <c r="B72" s="13" t="str">
        <f t="shared" si="9"/>
        <v/>
      </c>
      <c r="C72" s="14">
        <f t="shared" si="10"/>
        <v>45911</v>
      </c>
      <c r="D72" s="40"/>
      <c r="E72" s="41"/>
      <c r="F72" s="60"/>
      <c r="G72" s="43"/>
      <c r="H72" s="44"/>
      <c r="I72" s="82"/>
      <c r="J72" s="83"/>
      <c r="K72" s="84"/>
      <c r="L72" s="85"/>
      <c r="M72" s="45"/>
      <c r="N72" s="46" t="str">
        <f t="shared" si="11"/>
        <v xml:space="preserve"> </v>
      </c>
      <c r="O72" s="47"/>
      <c r="P72" s="48"/>
      <c r="Q72" s="49"/>
    </row>
    <row r="73" spans="1:17" ht="15" customHeight="1" x14ac:dyDescent="0.15">
      <c r="A73" s="15"/>
      <c r="B73" s="13" t="str">
        <f t="shared" si="9"/>
        <v/>
      </c>
      <c r="C73" s="14">
        <f t="shared" si="10"/>
        <v>45911</v>
      </c>
      <c r="D73" s="40"/>
      <c r="E73" s="41"/>
      <c r="F73" s="60"/>
      <c r="G73" s="43"/>
      <c r="H73" s="44"/>
      <c r="I73" s="82"/>
      <c r="J73" s="83"/>
      <c r="K73" s="84"/>
      <c r="L73" s="85"/>
      <c r="M73" s="45"/>
      <c r="N73" s="46" t="str">
        <f t="shared" si="11"/>
        <v xml:space="preserve"> </v>
      </c>
      <c r="O73" s="47"/>
      <c r="P73" s="48"/>
      <c r="Q73" s="49"/>
    </row>
    <row r="74" spans="1:17" ht="15" customHeight="1" x14ac:dyDescent="0.15">
      <c r="A74" s="15"/>
      <c r="B74" s="13" t="str">
        <f t="shared" si="9"/>
        <v/>
      </c>
      <c r="C74" s="14">
        <f t="shared" si="10"/>
        <v>45911</v>
      </c>
      <c r="D74" s="40"/>
      <c r="E74" s="41"/>
      <c r="F74" s="60"/>
      <c r="G74" s="43"/>
      <c r="H74" s="44"/>
      <c r="I74" s="82"/>
      <c r="J74" s="83"/>
      <c r="K74" s="84"/>
      <c r="L74" s="85"/>
      <c r="M74" s="45"/>
      <c r="N74" s="46" t="str">
        <f t="shared" si="11"/>
        <v xml:space="preserve"> </v>
      </c>
      <c r="O74" s="47"/>
      <c r="P74" s="48"/>
      <c r="Q74" s="49"/>
    </row>
    <row r="75" spans="1:17" ht="15" customHeight="1" x14ac:dyDescent="0.15">
      <c r="A75" s="16">
        <f>A1+3</f>
        <v>45911</v>
      </c>
      <c r="B75" s="13" t="str">
        <f t="shared" si="9"/>
        <v/>
      </c>
      <c r="C75" s="14">
        <f t="shared" si="10"/>
        <v>45911</v>
      </c>
      <c r="D75" s="40"/>
      <c r="E75" s="41"/>
      <c r="F75" s="60"/>
      <c r="G75" s="43"/>
      <c r="H75" s="44"/>
      <c r="I75" s="82"/>
      <c r="J75" s="83"/>
      <c r="K75" s="84"/>
      <c r="L75" s="85"/>
      <c r="M75" s="45"/>
      <c r="N75" s="46" t="str">
        <f t="shared" si="11"/>
        <v xml:space="preserve"> </v>
      </c>
      <c r="O75" s="47"/>
      <c r="P75" s="48"/>
      <c r="Q75" s="49"/>
    </row>
    <row r="76" spans="1:17" ht="15" customHeight="1" x14ac:dyDescent="0.15">
      <c r="A76" s="15"/>
      <c r="B76" s="13" t="str">
        <f t="shared" si="9"/>
        <v/>
      </c>
      <c r="C76" s="14">
        <f t="shared" si="10"/>
        <v>45911</v>
      </c>
      <c r="D76" s="40"/>
      <c r="E76" s="41"/>
      <c r="F76" s="60"/>
      <c r="G76" s="43"/>
      <c r="H76" s="44"/>
      <c r="I76" s="82"/>
      <c r="J76" s="83"/>
      <c r="K76" s="84"/>
      <c r="L76" s="85"/>
      <c r="M76" s="45"/>
      <c r="N76" s="46" t="str">
        <f t="shared" si="11"/>
        <v xml:space="preserve"> </v>
      </c>
      <c r="O76" s="47"/>
      <c r="P76" s="48"/>
      <c r="Q76" s="49"/>
    </row>
    <row r="77" spans="1:17" ht="15" customHeight="1" x14ac:dyDescent="0.15">
      <c r="A77" s="15"/>
      <c r="B77" s="13" t="str">
        <f t="shared" si="9"/>
        <v/>
      </c>
      <c r="C77" s="14">
        <f t="shared" si="10"/>
        <v>45911</v>
      </c>
      <c r="D77" s="40"/>
      <c r="E77" s="41"/>
      <c r="F77" s="60"/>
      <c r="G77" s="43"/>
      <c r="H77" s="44"/>
      <c r="I77" s="82"/>
      <c r="J77" s="83"/>
      <c r="K77" s="84"/>
      <c r="L77" s="85"/>
      <c r="M77" s="45"/>
      <c r="N77" s="46" t="str">
        <f t="shared" si="11"/>
        <v xml:space="preserve"> </v>
      </c>
      <c r="O77" s="47"/>
      <c r="P77" s="48"/>
      <c r="Q77" s="49"/>
    </row>
    <row r="78" spans="1:17" ht="15" customHeight="1" x14ac:dyDescent="0.15">
      <c r="A78" s="15"/>
      <c r="B78" s="13" t="str">
        <f t="shared" si="9"/>
        <v/>
      </c>
      <c r="C78" s="14">
        <f t="shared" si="10"/>
        <v>45911</v>
      </c>
      <c r="D78" s="40"/>
      <c r="E78" s="41"/>
      <c r="F78" s="60"/>
      <c r="G78" s="43"/>
      <c r="H78" s="44"/>
      <c r="I78" s="82"/>
      <c r="J78" s="83"/>
      <c r="K78" s="86"/>
      <c r="L78" s="85"/>
      <c r="M78" s="45"/>
      <c r="N78" s="46" t="str">
        <f t="shared" si="11"/>
        <v xml:space="preserve"> </v>
      </c>
      <c r="O78" s="47"/>
      <c r="P78" s="48"/>
      <c r="Q78" s="49"/>
    </row>
    <row r="79" spans="1:17" ht="15" customHeight="1" x14ac:dyDescent="0.15">
      <c r="A79" s="15"/>
      <c r="B79" s="13" t="str">
        <f t="shared" si="9"/>
        <v/>
      </c>
      <c r="C79" s="14">
        <f t="shared" si="10"/>
        <v>45911</v>
      </c>
      <c r="D79" s="40"/>
      <c r="E79" s="41"/>
      <c r="F79" s="60"/>
      <c r="G79" s="43"/>
      <c r="H79" s="44"/>
      <c r="I79" s="82"/>
      <c r="J79" s="83"/>
      <c r="K79" s="86"/>
      <c r="L79" s="85"/>
      <c r="M79" s="45"/>
      <c r="N79" s="46" t="str">
        <f t="shared" si="11"/>
        <v xml:space="preserve"> </v>
      </c>
      <c r="O79" s="47"/>
      <c r="P79" s="48"/>
      <c r="Q79" s="49"/>
    </row>
    <row r="80" spans="1:17" ht="15" customHeight="1" x14ac:dyDescent="0.15">
      <c r="A80" s="15"/>
      <c r="B80" s="13" t="str">
        <f t="shared" si="9"/>
        <v/>
      </c>
      <c r="C80" s="14">
        <f t="shared" si="10"/>
        <v>45911</v>
      </c>
      <c r="D80" s="40"/>
      <c r="E80" s="41"/>
      <c r="F80" s="60"/>
      <c r="G80" s="43"/>
      <c r="H80" s="44"/>
      <c r="I80" s="82"/>
      <c r="J80" s="83"/>
      <c r="K80" s="86"/>
      <c r="L80" s="85"/>
      <c r="M80" s="45"/>
      <c r="N80" s="46" t="str">
        <f t="shared" si="11"/>
        <v xml:space="preserve"> </v>
      </c>
      <c r="O80" s="47"/>
      <c r="P80" s="48"/>
      <c r="Q80" s="49"/>
    </row>
    <row r="81" spans="1:17" ht="15" customHeight="1" x14ac:dyDescent="0.15">
      <c r="A81" s="15"/>
      <c r="B81" s="13" t="str">
        <f t="shared" si="9"/>
        <v/>
      </c>
      <c r="C81" s="14">
        <f t="shared" si="10"/>
        <v>45911</v>
      </c>
      <c r="D81" s="40"/>
      <c r="E81" s="41"/>
      <c r="F81" s="60"/>
      <c r="G81" s="43"/>
      <c r="H81" s="44"/>
      <c r="I81" s="82"/>
      <c r="J81" s="83"/>
      <c r="K81" s="86"/>
      <c r="L81" s="85"/>
      <c r="M81" s="45"/>
      <c r="N81" s="46" t="str">
        <f t="shared" si="11"/>
        <v xml:space="preserve"> </v>
      </c>
      <c r="O81" s="47"/>
      <c r="P81" s="48"/>
      <c r="Q81" s="49"/>
    </row>
    <row r="82" spans="1:17" ht="15" customHeight="1" x14ac:dyDescent="0.15">
      <c r="A82" s="15"/>
      <c r="B82" s="13" t="str">
        <f t="shared" si="9"/>
        <v/>
      </c>
      <c r="C82" s="14">
        <f t="shared" si="10"/>
        <v>45911</v>
      </c>
      <c r="D82" s="40"/>
      <c r="E82" s="41"/>
      <c r="F82" s="60"/>
      <c r="G82" s="43"/>
      <c r="H82" s="44"/>
      <c r="I82" s="82"/>
      <c r="J82" s="83"/>
      <c r="K82" s="86"/>
      <c r="L82" s="85"/>
      <c r="M82" s="45"/>
      <c r="N82" s="46" t="str">
        <f t="shared" si="11"/>
        <v xml:space="preserve"> </v>
      </c>
      <c r="O82" s="47"/>
      <c r="P82" s="48"/>
      <c r="Q82" s="49"/>
    </row>
    <row r="83" spans="1:17" ht="15" customHeight="1" x14ac:dyDescent="0.15">
      <c r="A83" s="15"/>
      <c r="B83" s="13" t="str">
        <f t="shared" si="9"/>
        <v/>
      </c>
      <c r="C83" s="14">
        <f t="shared" si="10"/>
        <v>45911</v>
      </c>
      <c r="D83" s="40"/>
      <c r="E83" s="41"/>
      <c r="F83" s="60"/>
      <c r="G83" s="43"/>
      <c r="H83" s="44"/>
      <c r="I83" s="82"/>
      <c r="J83" s="83"/>
      <c r="K83" s="86"/>
      <c r="L83" s="85"/>
      <c r="M83" s="45"/>
      <c r="N83" s="46" t="str">
        <f t="shared" si="11"/>
        <v xml:space="preserve"> </v>
      </c>
      <c r="O83" s="47"/>
      <c r="P83" s="48"/>
      <c r="Q83" s="49"/>
    </row>
    <row r="84" spans="1:17" ht="15" customHeight="1" x14ac:dyDescent="0.15">
      <c r="A84" s="50"/>
      <c r="B84" s="13" t="str">
        <f t="shared" si="9"/>
        <v/>
      </c>
      <c r="C84" s="14">
        <f t="shared" si="10"/>
        <v>45911</v>
      </c>
      <c r="D84" s="40"/>
      <c r="E84" s="41"/>
      <c r="F84" s="60"/>
      <c r="G84" s="43"/>
      <c r="H84" s="44"/>
      <c r="I84" s="82"/>
      <c r="J84" s="83"/>
      <c r="K84" s="86"/>
      <c r="L84" s="85"/>
      <c r="M84" s="45"/>
      <c r="N84" s="46" t="str">
        <f t="shared" si="11"/>
        <v xml:space="preserve"> </v>
      </c>
      <c r="O84" s="47"/>
      <c r="P84" s="48"/>
      <c r="Q84" s="49"/>
    </row>
    <row r="85" spans="1:17" ht="15" customHeight="1" x14ac:dyDescent="0.15">
      <c r="A85" s="12" t="str">
        <f>UPPER(TEXT((A1+3),"mmmm"))</f>
        <v>SEPTEMBRE</v>
      </c>
      <c r="B85" s="13" t="str">
        <f t="shared" si="9"/>
        <v/>
      </c>
      <c r="C85" s="14">
        <f t="shared" si="10"/>
        <v>45911</v>
      </c>
      <c r="D85" s="40"/>
      <c r="E85" s="41"/>
      <c r="F85" s="60"/>
      <c r="G85" s="43"/>
      <c r="H85" s="44"/>
      <c r="I85" s="82"/>
      <c r="J85" s="83"/>
      <c r="K85" s="86"/>
      <c r="L85" s="85"/>
      <c r="M85" s="45"/>
      <c r="N85" s="46" t="str">
        <f t="shared" si="11"/>
        <v xml:space="preserve"> </v>
      </c>
      <c r="O85" s="47"/>
      <c r="P85" s="48"/>
      <c r="Q85" s="49"/>
    </row>
    <row r="86" spans="1:17" ht="15" customHeight="1" thickBot="1" x14ac:dyDescent="0.2">
      <c r="A86" s="17"/>
      <c r="B86" s="17" t="str">
        <f>IF(ISBLANK(K86),"",K86)</f>
        <v/>
      </c>
      <c r="C86" s="17"/>
      <c r="D86" s="51"/>
      <c r="E86" s="52"/>
      <c r="F86" s="53"/>
      <c r="G86" s="54"/>
      <c r="H86" s="54"/>
      <c r="I86" s="87"/>
      <c r="J86" s="88"/>
      <c r="K86" s="89"/>
      <c r="L86" s="90"/>
      <c r="M86" s="55"/>
      <c r="N86" s="56"/>
      <c r="O86" s="57"/>
      <c r="P86" s="58"/>
      <c r="Q86" s="59"/>
    </row>
    <row r="87" spans="1:17" ht="15" customHeight="1" x14ac:dyDescent="0.15">
      <c r="A87" s="11"/>
      <c r="B87" s="11" t="str">
        <f>IF(ISBLANK(K87),"",K87)</f>
        <v/>
      </c>
      <c r="C87" s="11"/>
      <c r="D87" s="31"/>
      <c r="E87" s="32"/>
      <c r="F87" s="33"/>
      <c r="G87" s="34"/>
      <c r="H87" s="34"/>
      <c r="I87" s="78"/>
      <c r="J87" s="79"/>
      <c r="K87" s="80"/>
      <c r="L87" s="81"/>
      <c r="M87" s="35"/>
      <c r="N87" s="36"/>
      <c r="O87" s="37"/>
      <c r="P87" s="38"/>
      <c r="Q87" s="39"/>
    </row>
    <row r="88" spans="1:17" ht="15" customHeight="1" x14ac:dyDescent="0.15">
      <c r="A88" s="12" t="str">
        <f>UPPER(TEXT((A1+4),"jjjj"))</f>
        <v>VENDREDI</v>
      </c>
      <c r="B88" s="13" t="str">
        <f>IF(ISBLANK(K88),"",K88)</f>
        <v/>
      </c>
      <c r="C88" s="14">
        <f>$A$96</f>
        <v>45912</v>
      </c>
      <c r="D88" s="40"/>
      <c r="E88" s="41"/>
      <c r="F88" s="60"/>
      <c r="G88" s="43"/>
      <c r="H88" s="44"/>
      <c r="I88" s="82"/>
      <c r="J88" s="83"/>
      <c r="K88" s="84"/>
      <c r="L88" s="85"/>
      <c r="M88" s="45"/>
      <c r="N88" s="46" t="str">
        <f>IF(O88=""," ","COLIS PRÊT CDG")</f>
        <v xml:space="preserve"> </v>
      </c>
      <c r="O88" s="47"/>
      <c r="P88" s="48"/>
      <c r="Q88" s="49"/>
    </row>
    <row r="89" spans="1:17" ht="15" customHeight="1" x14ac:dyDescent="0.15">
      <c r="A89" s="15"/>
      <c r="B89" s="13" t="str">
        <f t="shared" ref="B89:B106" si="12">IF(ISBLANK(K89),"",K89)</f>
        <v/>
      </c>
      <c r="C89" s="14">
        <f t="shared" ref="C89:C106" si="13">$A$96</f>
        <v>45912</v>
      </c>
      <c r="D89" s="40"/>
      <c r="E89" s="41"/>
      <c r="F89" s="60"/>
      <c r="G89" s="43"/>
      <c r="H89" s="44"/>
      <c r="I89" s="82"/>
      <c r="J89" s="83"/>
      <c r="K89" s="84"/>
      <c r="L89" s="85"/>
      <c r="M89" s="45"/>
      <c r="N89" s="46" t="str">
        <f t="shared" ref="N89:N106" si="14">IF(O89=""," ","COLIS PRÊT CDG")</f>
        <v xml:space="preserve"> </v>
      </c>
      <c r="O89" s="47"/>
      <c r="P89" s="48"/>
      <c r="Q89" s="49"/>
    </row>
    <row r="90" spans="1:17" ht="15" customHeight="1" x14ac:dyDescent="0.15">
      <c r="A90" s="15"/>
      <c r="B90" s="13" t="str">
        <f t="shared" si="12"/>
        <v/>
      </c>
      <c r="C90" s="14">
        <f t="shared" si="13"/>
        <v>45912</v>
      </c>
      <c r="D90" s="40"/>
      <c r="E90" s="41"/>
      <c r="F90" s="60"/>
      <c r="G90" s="43"/>
      <c r="H90" s="44"/>
      <c r="I90" s="82"/>
      <c r="J90" s="83"/>
      <c r="K90" s="84"/>
      <c r="L90" s="85"/>
      <c r="M90" s="45"/>
      <c r="N90" s="46" t="str">
        <f t="shared" si="14"/>
        <v xml:space="preserve"> </v>
      </c>
      <c r="O90" s="47"/>
      <c r="P90" s="48"/>
      <c r="Q90" s="49"/>
    </row>
    <row r="91" spans="1:17" ht="15" customHeight="1" x14ac:dyDescent="0.15">
      <c r="A91" s="15"/>
      <c r="B91" s="13" t="str">
        <f t="shared" si="12"/>
        <v/>
      </c>
      <c r="C91" s="14">
        <f t="shared" si="13"/>
        <v>45912</v>
      </c>
      <c r="D91" s="40"/>
      <c r="E91" s="41"/>
      <c r="F91" s="60"/>
      <c r="G91" s="43"/>
      <c r="H91" s="44"/>
      <c r="I91" s="82"/>
      <c r="J91" s="83"/>
      <c r="K91" s="84"/>
      <c r="L91" s="85"/>
      <c r="M91" s="45"/>
      <c r="N91" s="46" t="str">
        <f t="shared" si="14"/>
        <v xml:space="preserve"> </v>
      </c>
      <c r="O91" s="47"/>
      <c r="P91" s="48"/>
      <c r="Q91" s="49"/>
    </row>
    <row r="92" spans="1:17" ht="15" customHeight="1" x14ac:dyDescent="0.15">
      <c r="A92" s="15"/>
      <c r="B92" s="13" t="str">
        <f t="shared" si="12"/>
        <v/>
      </c>
      <c r="C92" s="14">
        <f t="shared" si="13"/>
        <v>45912</v>
      </c>
      <c r="D92" s="40"/>
      <c r="E92" s="41"/>
      <c r="F92" s="60"/>
      <c r="G92" s="43"/>
      <c r="H92" s="44"/>
      <c r="I92" s="82"/>
      <c r="J92" s="83"/>
      <c r="K92" s="84"/>
      <c r="L92" s="85"/>
      <c r="M92" s="45"/>
      <c r="N92" s="46" t="str">
        <f t="shared" si="14"/>
        <v xml:space="preserve"> </v>
      </c>
      <c r="O92" s="47"/>
      <c r="P92" s="48"/>
      <c r="Q92" s="49"/>
    </row>
    <row r="93" spans="1:17" ht="15" customHeight="1" x14ac:dyDescent="0.15">
      <c r="A93" s="15"/>
      <c r="B93" s="13" t="str">
        <f t="shared" si="12"/>
        <v/>
      </c>
      <c r="C93" s="14">
        <f t="shared" si="13"/>
        <v>45912</v>
      </c>
      <c r="D93" s="40"/>
      <c r="E93" s="41"/>
      <c r="F93" s="60"/>
      <c r="G93" s="43"/>
      <c r="H93" s="44"/>
      <c r="I93" s="82"/>
      <c r="J93" s="83"/>
      <c r="K93" s="84"/>
      <c r="L93" s="85"/>
      <c r="M93" s="45"/>
      <c r="N93" s="46" t="str">
        <f t="shared" si="14"/>
        <v xml:space="preserve"> </v>
      </c>
      <c r="O93" s="47"/>
      <c r="P93" s="48"/>
      <c r="Q93" s="49"/>
    </row>
    <row r="94" spans="1:17" ht="15" customHeight="1" x14ac:dyDescent="0.15">
      <c r="A94" s="15"/>
      <c r="B94" s="13" t="str">
        <f t="shared" si="12"/>
        <v/>
      </c>
      <c r="C94" s="14">
        <f t="shared" si="13"/>
        <v>45912</v>
      </c>
      <c r="D94" s="40"/>
      <c r="E94" s="41"/>
      <c r="F94" s="60"/>
      <c r="G94" s="43"/>
      <c r="H94" s="44"/>
      <c r="I94" s="82"/>
      <c r="J94" s="83"/>
      <c r="K94" s="84"/>
      <c r="L94" s="85"/>
      <c r="M94" s="45"/>
      <c r="N94" s="46" t="str">
        <f t="shared" si="14"/>
        <v xml:space="preserve"> </v>
      </c>
      <c r="O94" s="47"/>
      <c r="P94" s="48"/>
      <c r="Q94" s="49"/>
    </row>
    <row r="95" spans="1:17" ht="15" customHeight="1" x14ac:dyDescent="0.15">
      <c r="A95" s="15"/>
      <c r="B95" s="13" t="str">
        <f t="shared" si="12"/>
        <v/>
      </c>
      <c r="C95" s="14">
        <f t="shared" si="13"/>
        <v>45912</v>
      </c>
      <c r="D95" s="40"/>
      <c r="E95" s="41"/>
      <c r="F95" s="60"/>
      <c r="G95" s="43"/>
      <c r="H95" s="44"/>
      <c r="I95" s="82"/>
      <c r="J95" s="83"/>
      <c r="K95" s="84"/>
      <c r="L95" s="85"/>
      <c r="M95" s="45"/>
      <c r="N95" s="46" t="str">
        <f t="shared" si="14"/>
        <v xml:space="preserve"> </v>
      </c>
      <c r="O95" s="47"/>
      <c r="P95" s="48"/>
      <c r="Q95" s="49"/>
    </row>
    <row r="96" spans="1:17" ht="15" customHeight="1" x14ac:dyDescent="0.15">
      <c r="A96" s="16">
        <f>A1+4</f>
        <v>45912</v>
      </c>
      <c r="B96" s="13" t="str">
        <f t="shared" si="12"/>
        <v/>
      </c>
      <c r="C96" s="14">
        <f t="shared" si="13"/>
        <v>45912</v>
      </c>
      <c r="D96" s="40"/>
      <c r="E96" s="41"/>
      <c r="F96" s="60"/>
      <c r="G96" s="43"/>
      <c r="H96" s="44"/>
      <c r="I96" s="82"/>
      <c r="J96" s="83"/>
      <c r="K96" s="84"/>
      <c r="L96" s="85"/>
      <c r="M96" s="45"/>
      <c r="N96" s="46" t="str">
        <f t="shared" si="14"/>
        <v xml:space="preserve"> </v>
      </c>
      <c r="O96" s="47"/>
      <c r="P96" s="48"/>
      <c r="Q96" s="49"/>
    </row>
    <row r="97" spans="1:17" ht="15" customHeight="1" x14ac:dyDescent="0.15">
      <c r="A97" s="15"/>
      <c r="B97" s="13" t="str">
        <f t="shared" si="12"/>
        <v/>
      </c>
      <c r="C97" s="14">
        <f t="shared" si="13"/>
        <v>45912</v>
      </c>
      <c r="D97" s="40"/>
      <c r="E97" s="41"/>
      <c r="F97" s="60"/>
      <c r="G97" s="43"/>
      <c r="H97" s="44"/>
      <c r="I97" s="82"/>
      <c r="J97" s="83"/>
      <c r="K97" s="84"/>
      <c r="L97" s="85"/>
      <c r="M97" s="45"/>
      <c r="N97" s="46" t="str">
        <f t="shared" si="14"/>
        <v xml:space="preserve"> </v>
      </c>
      <c r="O97" s="47"/>
      <c r="P97" s="48"/>
      <c r="Q97" s="49"/>
    </row>
    <row r="98" spans="1:17" ht="15" customHeight="1" x14ac:dyDescent="0.15">
      <c r="A98" s="15"/>
      <c r="B98" s="13" t="str">
        <f t="shared" si="12"/>
        <v/>
      </c>
      <c r="C98" s="14">
        <f t="shared" si="13"/>
        <v>45912</v>
      </c>
      <c r="D98" s="40"/>
      <c r="E98" s="41"/>
      <c r="F98" s="60"/>
      <c r="G98" s="43"/>
      <c r="H98" s="44"/>
      <c r="I98" s="82"/>
      <c r="J98" s="83"/>
      <c r="K98" s="84"/>
      <c r="L98" s="85"/>
      <c r="M98" s="45"/>
      <c r="N98" s="46" t="str">
        <f t="shared" si="14"/>
        <v xml:space="preserve"> </v>
      </c>
      <c r="O98" s="47"/>
      <c r="P98" s="48"/>
      <c r="Q98" s="49"/>
    </row>
    <row r="99" spans="1:17" ht="15" customHeight="1" x14ac:dyDescent="0.15">
      <c r="A99" s="15"/>
      <c r="B99" s="13" t="str">
        <f t="shared" si="12"/>
        <v/>
      </c>
      <c r="C99" s="14">
        <f t="shared" si="13"/>
        <v>45912</v>
      </c>
      <c r="D99" s="40"/>
      <c r="E99" s="41"/>
      <c r="F99" s="60"/>
      <c r="G99" s="43"/>
      <c r="H99" s="44"/>
      <c r="I99" s="82"/>
      <c r="J99" s="83"/>
      <c r="K99" s="84"/>
      <c r="L99" s="85"/>
      <c r="M99" s="45"/>
      <c r="N99" s="46" t="str">
        <f t="shared" si="14"/>
        <v xml:space="preserve"> </v>
      </c>
      <c r="O99" s="47"/>
      <c r="P99" s="48"/>
      <c r="Q99" s="49"/>
    </row>
    <row r="100" spans="1:17" ht="15" customHeight="1" x14ac:dyDescent="0.15">
      <c r="A100" s="15"/>
      <c r="B100" s="13" t="str">
        <f t="shared" si="12"/>
        <v/>
      </c>
      <c r="C100" s="14">
        <f t="shared" si="13"/>
        <v>45912</v>
      </c>
      <c r="D100" s="40"/>
      <c r="E100" s="41"/>
      <c r="F100" s="60"/>
      <c r="G100" s="43"/>
      <c r="H100" s="44"/>
      <c r="I100" s="82"/>
      <c r="J100" s="83"/>
      <c r="K100" s="84"/>
      <c r="L100" s="85"/>
      <c r="M100" s="45"/>
      <c r="N100" s="46" t="str">
        <f t="shared" si="14"/>
        <v xml:space="preserve"> </v>
      </c>
      <c r="O100" s="47"/>
      <c r="P100" s="48"/>
      <c r="Q100" s="49"/>
    </row>
    <row r="101" spans="1:17" ht="15" customHeight="1" x14ac:dyDescent="0.15">
      <c r="A101" s="15"/>
      <c r="B101" s="13" t="str">
        <f t="shared" si="12"/>
        <v/>
      </c>
      <c r="C101" s="14">
        <f t="shared" si="13"/>
        <v>45912</v>
      </c>
      <c r="D101" s="40"/>
      <c r="E101" s="41"/>
      <c r="F101" s="60"/>
      <c r="G101" s="43"/>
      <c r="H101" s="44"/>
      <c r="I101" s="82"/>
      <c r="J101" s="83"/>
      <c r="K101" s="84"/>
      <c r="L101" s="85"/>
      <c r="M101" s="45"/>
      <c r="N101" s="46" t="str">
        <f t="shared" si="14"/>
        <v xml:space="preserve"> </v>
      </c>
      <c r="O101" s="47"/>
      <c r="P101" s="48"/>
      <c r="Q101" s="49"/>
    </row>
    <row r="102" spans="1:17" ht="15" customHeight="1" x14ac:dyDescent="0.15">
      <c r="A102" s="15"/>
      <c r="B102" s="13" t="str">
        <f t="shared" si="12"/>
        <v/>
      </c>
      <c r="C102" s="14">
        <f t="shared" si="13"/>
        <v>45912</v>
      </c>
      <c r="D102" s="40"/>
      <c r="E102" s="41"/>
      <c r="F102" s="60"/>
      <c r="G102" s="43"/>
      <c r="H102" s="44"/>
      <c r="I102" s="82"/>
      <c r="J102" s="83"/>
      <c r="K102" s="84"/>
      <c r="L102" s="85"/>
      <c r="M102" s="45"/>
      <c r="N102" s="46" t="str">
        <f t="shared" si="14"/>
        <v xml:space="preserve"> </v>
      </c>
      <c r="O102" s="47"/>
      <c r="P102" s="48"/>
      <c r="Q102" s="49"/>
    </row>
    <row r="103" spans="1:17" ht="15" customHeight="1" x14ac:dyDescent="0.15">
      <c r="A103" s="15"/>
      <c r="B103" s="13" t="str">
        <f t="shared" si="12"/>
        <v/>
      </c>
      <c r="C103" s="14">
        <f t="shared" si="13"/>
        <v>45912</v>
      </c>
      <c r="D103" s="40"/>
      <c r="E103" s="41"/>
      <c r="F103" s="60"/>
      <c r="G103" s="43"/>
      <c r="H103" s="44"/>
      <c r="I103" s="82"/>
      <c r="J103" s="83"/>
      <c r="K103" s="86"/>
      <c r="L103" s="85"/>
      <c r="M103" s="45"/>
      <c r="N103" s="46" t="str">
        <f t="shared" si="14"/>
        <v xml:space="preserve"> </v>
      </c>
      <c r="O103" s="47"/>
      <c r="P103" s="48"/>
      <c r="Q103" s="49"/>
    </row>
    <row r="104" spans="1:17" ht="15" customHeight="1" x14ac:dyDescent="0.15">
      <c r="A104" s="15"/>
      <c r="B104" s="13" t="str">
        <f t="shared" si="12"/>
        <v/>
      </c>
      <c r="C104" s="14">
        <f t="shared" si="13"/>
        <v>45912</v>
      </c>
      <c r="D104" s="40"/>
      <c r="E104" s="41"/>
      <c r="F104" s="60"/>
      <c r="G104" s="43"/>
      <c r="H104" s="44"/>
      <c r="I104" s="82"/>
      <c r="J104" s="83"/>
      <c r="K104" s="86"/>
      <c r="L104" s="85"/>
      <c r="M104" s="45"/>
      <c r="N104" s="46" t="str">
        <f t="shared" si="14"/>
        <v xml:space="preserve"> </v>
      </c>
      <c r="O104" s="47"/>
      <c r="P104" s="48"/>
      <c r="Q104" s="49"/>
    </row>
    <row r="105" spans="1:17" ht="15" customHeight="1" x14ac:dyDescent="0.15">
      <c r="A105" s="50"/>
      <c r="B105" s="13" t="str">
        <f t="shared" si="12"/>
        <v/>
      </c>
      <c r="C105" s="14">
        <f t="shared" si="13"/>
        <v>45912</v>
      </c>
      <c r="D105" s="40"/>
      <c r="E105" s="41"/>
      <c r="F105" s="60"/>
      <c r="G105" s="43"/>
      <c r="H105" s="44"/>
      <c r="I105" s="82"/>
      <c r="J105" s="83"/>
      <c r="K105" s="86"/>
      <c r="L105" s="85"/>
      <c r="M105" s="45"/>
      <c r="N105" s="46" t="str">
        <f t="shared" si="14"/>
        <v xml:space="preserve"> </v>
      </c>
      <c r="O105" s="47"/>
      <c r="P105" s="48"/>
      <c r="Q105" s="49"/>
    </row>
    <row r="106" spans="1:17" ht="15" customHeight="1" x14ac:dyDescent="0.15">
      <c r="A106" s="12" t="str">
        <f>UPPER(TEXT((A1+4),"mmmm"))</f>
        <v>SEPTEMBRE</v>
      </c>
      <c r="B106" s="13" t="str">
        <f t="shared" si="12"/>
        <v/>
      </c>
      <c r="C106" s="14">
        <f t="shared" si="13"/>
        <v>45912</v>
      </c>
      <c r="D106" s="40"/>
      <c r="E106" s="41"/>
      <c r="F106" s="60"/>
      <c r="G106" s="43"/>
      <c r="H106" s="44"/>
      <c r="I106" s="82"/>
      <c r="J106" s="83"/>
      <c r="K106" s="86"/>
      <c r="L106" s="85"/>
      <c r="M106" s="45"/>
      <c r="N106" s="46" t="str">
        <f t="shared" si="14"/>
        <v xml:space="preserve"> </v>
      </c>
      <c r="O106" s="47"/>
      <c r="P106" s="48"/>
      <c r="Q106" s="49"/>
    </row>
    <row r="107" spans="1:17" ht="15" customHeight="1" thickBot="1" x14ac:dyDescent="0.2">
      <c r="A107" s="17"/>
      <c r="B107" s="17" t="str">
        <f>IF(ISBLANK(K107),"",K107)</f>
        <v/>
      </c>
      <c r="C107" s="17"/>
      <c r="D107" s="51"/>
      <c r="E107" s="52"/>
      <c r="F107" s="53"/>
      <c r="G107" s="54"/>
      <c r="H107" s="54"/>
      <c r="I107" s="87"/>
      <c r="J107" s="88"/>
      <c r="K107" s="89"/>
      <c r="L107" s="90"/>
      <c r="M107" s="55"/>
      <c r="N107" s="56"/>
      <c r="O107" s="57"/>
      <c r="P107" s="58"/>
      <c r="Q107" s="59"/>
    </row>
    <row r="108" spans="1:17" ht="15" customHeight="1" x14ac:dyDescent="0.15">
      <c r="A108" s="11"/>
      <c r="B108" s="11" t="str">
        <f>IF(ISBLANK(K108),"",K108)</f>
        <v/>
      </c>
      <c r="C108" s="11"/>
      <c r="D108" s="31"/>
      <c r="E108" s="32"/>
      <c r="F108" s="33"/>
      <c r="G108" s="34"/>
      <c r="H108" s="34"/>
      <c r="I108" s="78"/>
      <c r="J108" s="79"/>
      <c r="K108" s="80"/>
      <c r="L108" s="81"/>
      <c r="M108" s="35"/>
      <c r="N108" s="36"/>
      <c r="O108" s="37"/>
      <c r="P108" s="38"/>
      <c r="Q108" s="39"/>
    </row>
    <row r="109" spans="1:17" ht="15" customHeight="1" x14ac:dyDescent="0.15">
      <c r="A109" s="12" t="str">
        <f>UPPER(TEXT((A1+5),"jjjj"))</f>
        <v>SAMEDI</v>
      </c>
      <c r="B109" s="13" t="str">
        <f>IF(ISBLANK(K109),"",K109)</f>
        <v/>
      </c>
      <c r="C109" s="14">
        <f>$A$117</f>
        <v>45913</v>
      </c>
      <c r="D109" s="40"/>
      <c r="E109" s="41"/>
      <c r="F109" s="60"/>
      <c r="G109" s="43"/>
      <c r="H109" s="44"/>
      <c r="I109" s="82"/>
      <c r="J109" s="83"/>
      <c r="K109" s="84"/>
      <c r="L109" s="85"/>
      <c r="M109" s="45"/>
      <c r="N109" s="46" t="str">
        <f>IF(O109=""," ","COLIS PRÊT CDG")</f>
        <v xml:space="preserve"> </v>
      </c>
      <c r="O109" s="47"/>
      <c r="P109" s="48"/>
      <c r="Q109" s="49"/>
    </row>
    <row r="110" spans="1:17" ht="15" customHeight="1" x14ac:dyDescent="0.15">
      <c r="A110" s="15"/>
      <c r="B110" s="13" t="str">
        <f t="shared" ref="B110:B127" si="15">IF(ISBLANK(K110),"",K110)</f>
        <v/>
      </c>
      <c r="C110" s="14">
        <f t="shared" ref="C110:C127" si="16">$A$117</f>
        <v>45913</v>
      </c>
      <c r="D110" s="40"/>
      <c r="E110" s="41"/>
      <c r="F110" s="60"/>
      <c r="G110" s="43"/>
      <c r="H110" s="44"/>
      <c r="I110" s="82"/>
      <c r="J110" s="83"/>
      <c r="K110" s="84"/>
      <c r="L110" s="85"/>
      <c r="M110" s="45"/>
      <c r="N110" s="46" t="str">
        <f t="shared" ref="N110:N127" si="17">IF(O110=""," ","COLIS PRÊT CDG")</f>
        <v xml:space="preserve"> </v>
      </c>
      <c r="O110" s="47"/>
      <c r="P110" s="48"/>
      <c r="Q110" s="49"/>
    </row>
    <row r="111" spans="1:17" ht="15" customHeight="1" x14ac:dyDescent="0.15">
      <c r="A111" s="15"/>
      <c r="B111" s="13" t="str">
        <f t="shared" si="15"/>
        <v/>
      </c>
      <c r="C111" s="14">
        <f t="shared" si="16"/>
        <v>45913</v>
      </c>
      <c r="D111" s="40"/>
      <c r="E111" s="41"/>
      <c r="F111" s="60"/>
      <c r="G111" s="43"/>
      <c r="H111" s="44"/>
      <c r="I111" s="82"/>
      <c r="J111" s="83"/>
      <c r="K111" s="84"/>
      <c r="L111" s="85"/>
      <c r="M111" s="45"/>
      <c r="N111" s="46" t="str">
        <f t="shared" si="17"/>
        <v xml:space="preserve"> </v>
      </c>
      <c r="O111" s="47"/>
      <c r="P111" s="48"/>
      <c r="Q111" s="49"/>
    </row>
    <row r="112" spans="1:17" ht="15" customHeight="1" x14ac:dyDescent="0.15">
      <c r="A112" s="15"/>
      <c r="B112" s="13" t="str">
        <f t="shared" si="15"/>
        <v/>
      </c>
      <c r="C112" s="14">
        <f t="shared" si="16"/>
        <v>45913</v>
      </c>
      <c r="D112" s="40"/>
      <c r="E112" s="41"/>
      <c r="F112" s="60"/>
      <c r="G112" s="43"/>
      <c r="H112" s="44"/>
      <c r="I112" s="82"/>
      <c r="J112" s="83"/>
      <c r="K112" s="84"/>
      <c r="L112" s="85"/>
      <c r="M112" s="45"/>
      <c r="N112" s="46" t="str">
        <f t="shared" si="17"/>
        <v xml:space="preserve"> </v>
      </c>
      <c r="O112" s="47"/>
      <c r="P112" s="48"/>
      <c r="Q112" s="49"/>
    </row>
    <row r="113" spans="1:17" ht="15" customHeight="1" x14ac:dyDescent="0.15">
      <c r="A113" s="15"/>
      <c r="B113" s="13" t="str">
        <f t="shared" si="15"/>
        <v/>
      </c>
      <c r="C113" s="14">
        <f t="shared" si="16"/>
        <v>45913</v>
      </c>
      <c r="D113" s="40"/>
      <c r="E113" s="41"/>
      <c r="F113" s="60"/>
      <c r="G113" s="43"/>
      <c r="H113" s="44"/>
      <c r="I113" s="82"/>
      <c r="J113" s="83"/>
      <c r="K113" s="86"/>
      <c r="L113" s="85"/>
      <c r="M113" s="45"/>
      <c r="N113" s="46" t="str">
        <f t="shared" si="17"/>
        <v xml:space="preserve"> </v>
      </c>
      <c r="O113" s="47"/>
      <c r="P113" s="48"/>
      <c r="Q113" s="49"/>
    </row>
    <row r="114" spans="1:17" ht="15" customHeight="1" x14ac:dyDescent="0.15">
      <c r="A114" s="15"/>
      <c r="B114" s="13" t="str">
        <f t="shared" si="15"/>
        <v/>
      </c>
      <c r="C114" s="14">
        <f t="shared" si="16"/>
        <v>45913</v>
      </c>
      <c r="D114" s="40"/>
      <c r="E114" s="41"/>
      <c r="F114" s="60"/>
      <c r="G114" s="43"/>
      <c r="H114" s="44"/>
      <c r="I114" s="82"/>
      <c r="J114" s="83"/>
      <c r="K114" s="86"/>
      <c r="L114" s="85"/>
      <c r="M114" s="45"/>
      <c r="N114" s="46" t="str">
        <f t="shared" si="17"/>
        <v xml:space="preserve"> </v>
      </c>
      <c r="O114" s="47"/>
      <c r="P114" s="48"/>
      <c r="Q114" s="49"/>
    </row>
    <row r="115" spans="1:17" ht="15" customHeight="1" x14ac:dyDescent="0.15">
      <c r="A115" s="15"/>
      <c r="B115" s="13" t="str">
        <f t="shared" si="15"/>
        <v/>
      </c>
      <c r="C115" s="14">
        <f t="shared" si="16"/>
        <v>45913</v>
      </c>
      <c r="D115" s="40"/>
      <c r="E115" s="41"/>
      <c r="F115" s="60"/>
      <c r="G115" s="43"/>
      <c r="H115" s="44"/>
      <c r="I115" s="82"/>
      <c r="J115" s="83"/>
      <c r="K115" s="86"/>
      <c r="L115" s="85"/>
      <c r="M115" s="45"/>
      <c r="N115" s="46" t="str">
        <f t="shared" si="17"/>
        <v xml:space="preserve"> </v>
      </c>
      <c r="O115" s="47"/>
      <c r="P115" s="48"/>
      <c r="Q115" s="49"/>
    </row>
    <row r="116" spans="1:17" ht="15" customHeight="1" x14ac:dyDescent="0.15">
      <c r="A116" s="15"/>
      <c r="B116" s="13" t="str">
        <f t="shared" si="15"/>
        <v/>
      </c>
      <c r="C116" s="14">
        <f t="shared" si="16"/>
        <v>45913</v>
      </c>
      <c r="D116" s="40"/>
      <c r="E116" s="41"/>
      <c r="F116" s="60"/>
      <c r="G116" s="43"/>
      <c r="H116" s="44"/>
      <c r="I116" s="82"/>
      <c r="J116" s="83"/>
      <c r="K116" s="86"/>
      <c r="L116" s="85"/>
      <c r="M116" s="45"/>
      <c r="N116" s="46" t="str">
        <f t="shared" si="17"/>
        <v xml:space="preserve"> </v>
      </c>
      <c r="O116" s="47"/>
      <c r="P116" s="48"/>
      <c r="Q116" s="49"/>
    </row>
    <row r="117" spans="1:17" ht="15" customHeight="1" x14ac:dyDescent="0.15">
      <c r="A117" s="16">
        <f>A1+5</f>
        <v>45913</v>
      </c>
      <c r="B117" s="13" t="str">
        <f t="shared" si="15"/>
        <v/>
      </c>
      <c r="C117" s="14">
        <f t="shared" si="16"/>
        <v>45913</v>
      </c>
      <c r="D117" s="40"/>
      <c r="E117" s="41"/>
      <c r="F117" s="60"/>
      <c r="G117" s="43"/>
      <c r="H117" s="44"/>
      <c r="I117" s="82"/>
      <c r="J117" s="83"/>
      <c r="K117" s="86"/>
      <c r="L117" s="85"/>
      <c r="M117" s="45"/>
      <c r="N117" s="46" t="str">
        <f t="shared" si="17"/>
        <v xml:space="preserve"> </v>
      </c>
      <c r="O117" s="47"/>
      <c r="P117" s="48"/>
      <c r="Q117" s="49"/>
    </row>
    <row r="118" spans="1:17" ht="15" customHeight="1" x14ac:dyDescent="0.15">
      <c r="A118" s="15"/>
      <c r="B118" s="13" t="str">
        <f t="shared" si="15"/>
        <v/>
      </c>
      <c r="C118" s="14">
        <f t="shared" si="16"/>
        <v>45913</v>
      </c>
      <c r="D118" s="40"/>
      <c r="E118" s="41"/>
      <c r="F118" s="60"/>
      <c r="G118" s="43"/>
      <c r="H118" s="44"/>
      <c r="I118" s="82"/>
      <c r="J118" s="83"/>
      <c r="K118" s="86"/>
      <c r="L118" s="85"/>
      <c r="M118" s="45"/>
      <c r="N118" s="46" t="str">
        <f t="shared" si="17"/>
        <v xml:space="preserve"> </v>
      </c>
      <c r="O118" s="47"/>
      <c r="P118" s="48"/>
      <c r="Q118" s="49"/>
    </row>
    <row r="119" spans="1:17" ht="15" customHeight="1" x14ac:dyDescent="0.15">
      <c r="A119" s="15"/>
      <c r="B119" s="13" t="str">
        <f t="shared" si="15"/>
        <v/>
      </c>
      <c r="C119" s="14">
        <f t="shared" si="16"/>
        <v>45913</v>
      </c>
      <c r="D119" s="40"/>
      <c r="E119" s="41"/>
      <c r="F119" s="60"/>
      <c r="G119" s="43"/>
      <c r="H119" s="44"/>
      <c r="I119" s="82"/>
      <c r="J119" s="83"/>
      <c r="K119" s="86"/>
      <c r="L119" s="85"/>
      <c r="M119" s="45"/>
      <c r="N119" s="46" t="str">
        <f t="shared" si="17"/>
        <v xml:space="preserve"> </v>
      </c>
      <c r="O119" s="47"/>
      <c r="P119" s="48"/>
      <c r="Q119" s="49"/>
    </row>
    <row r="120" spans="1:17" ht="15" customHeight="1" x14ac:dyDescent="0.15">
      <c r="A120" s="15"/>
      <c r="B120" s="13" t="str">
        <f t="shared" si="15"/>
        <v/>
      </c>
      <c r="C120" s="14">
        <f t="shared" si="16"/>
        <v>45913</v>
      </c>
      <c r="D120" s="40"/>
      <c r="E120" s="41"/>
      <c r="F120" s="60"/>
      <c r="G120" s="43"/>
      <c r="H120" s="44"/>
      <c r="I120" s="82"/>
      <c r="J120" s="83"/>
      <c r="K120" s="86"/>
      <c r="L120" s="85"/>
      <c r="M120" s="45"/>
      <c r="N120" s="46" t="str">
        <f t="shared" si="17"/>
        <v xml:space="preserve"> </v>
      </c>
      <c r="O120" s="47"/>
      <c r="P120" s="48"/>
      <c r="Q120" s="49"/>
    </row>
    <row r="121" spans="1:17" ht="15" customHeight="1" x14ac:dyDescent="0.15">
      <c r="A121" s="15"/>
      <c r="B121" s="13" t="str">
        <f t="shared" si="15"/>
        <v/>
      </c>
      <c r="C121" s="14">
        <f t="shared" si="16"/>
        <v>45913</v>
      </c>
      <c r="D121" s="40"/>
      <c r="E121" s="41"/>
      <c r="F121" s="60"/>
      <c r="G121" s="43"/>
      <c r="H121" s="44"/>
      <c r="I121" s="82"/>
      <c r="J121" s="83"/>
      <c r="K121" s="86"/>
      <c r="L121" s="85"/>
      <c r="M121" s="45"/>
      <c r="N121" s="46" t="str">
        <f t="shared" si="17"/>
        <v xml:space="preserve"> </v>
      </c>
      <c r="O121" s="47"/>
      <c r="P121" s="48"/>
      <c r="Q121" s="49"/>
    </row>
    <row r="122" spans="1:17" ht="15" customHeight="1" x14ac:dyDescent="0.15">
      <c r="A122" s="15"/>
      <c r="B122" s="13" t="str">
        <f t="shared" si="15"/>
        <v/>
      </c>
      <c r="C122" s="14">
        <f t="shared" si="16"/>
        <v>45913</v>
      </c>
      <c r="D122" s="40"/>
      <c r="E122" s="41"/>
      <c r="F122" s="60"/>
      <c r="G122" s="43"/>
      <c r="H122" s="44"/>
      <c r="I122" s="82"/>
      <c r="J122" s="83"/>
      <c r="K122" s="86"/>
      <c r="L122" s="85"/>
      <c r="M122" s="45"/>
      <c r="N122" s="46" t="str">
        <f t="shared" si="17"/>
        <v xml:space="preserve"> </v>
      </c>
      <c r="O122" s="47"/>
      <c r="P122" s="48"/>
      <c r="Q122" s="49"/>
    </row>
    <row r="123" spans="1:17" ht="15" customHeight="1" x14ac:dyDescent="0.15">
      <c r="A123" s="15"/>
      <c r="B123" s="13" t="str">
        <f t="shared" si="15"/>
        <v/>
      </c>
      <c r="C123" s="14">
        <f t="shared" si="16"/>
        <v>45913</v>
      </c>
      <c r="D123" s="40"/>
      <c r="E123" s="41"/>
      <c r="F123" s="60"/>
      <c r="G123" s="43"/>
      <c r="H123" s="44"/>
      <c r="I123" s="82"/>
      <c r="J123" s="83"/>
      <c r="K123" s="86"/>
      <c r="L123" s="85"/>
      <c r="M123" s="45"/>
      <c r="N123" s="46" t="str">
        <f t="shared" si="17"/>
        <v xml:space="preserve"> </v>
      </c>
      <c r="O123" s="47"/>
      <c r="P123" s="48"/>
      <c r="Q123" s="49"/>
    </row>
    <row r="124" spans="1:17" ht="15" customHeight="1" x14ac:dyDescent="0.15">
      <c r="A124" s="15"/>
      <c r="B124" s="13" t="str">
        <f t="shared" si="15"/>
        <v/>
      </c>
      <c r="C124" s="14">
        <f t="shared" si="16"/>
        <v>45913</v>
      </c>
      <c r="D124" s="40"/>
      <c r="E124" s="41"/>
      <c r="F124" s="60"/>
      <c r="G124" s="43"/>
      <c r="H124" s="44"/>
      <c r="I124" s="82"/>
      <c r="J124" s="83"/>
      <c r="K124" s="86"/>
      <c r="L124" s="85"/>
      <c r="M124" s="45"/>
      <c r="N124" s="46" t="str">
        <f t="shared" si="17"/>
        <v xml:space="preserve"> </v>
      </c>
      <c r="O124" s="47"/>
      <c r="P124" s="48"/>
      <c r="Q124" s="49"/>
    </row>
    <row r="125" spans="1:17" ht="15" customHeight="1" x14ac:dyDescent="0.15">
      <c r="A125" s="15"/>
      <c r="B125" s="13" t="str">
        <f t="shared" si="15"/>
        <v/>
      </c>
      <c r="C125" s="14">
        <f t="shared" si="16"/>
        <v>45913</v>
      </c>
      <c r="D125" s="40"/>
      <c r="E125" s="41"/>
      <c r="F125" s="60"/>
      <c r="G125" s="43"/>
      <c r="H125" s="44"/>
      <c r="I125" s="82"/>
      <c r="J125" s="83"/>
      <c r="K125" s="86"/>
      <c r="L125" s="85"/>
      <c r="M125" s="45"/>
      <c r="N125" s="46" t="str">
        <f t="shared" si="17"/>
        <v xml:space="preserve"> </v>
      </c>
      <c r="O125" s="47"/>
      <c r="P125" s="48"/>
      <c r="Q125" s="49"/>
    </row>
    <row r="126" spans="1:17" ht="15" customHeight="1" x14ac:dyDescent="0.15">
      <c r="A126" s="50"/>
      <c r="B126" s="13" t="str">
        <f t="shared" si="15"/>
        <v/>
      </c>
      <c r="C126" s="14">
        <f t="shared" si="16"/>
        <v>45913</v>
      </c>
      <c r="D126" s="40"/>
      <c r="E126" s="41"/>
      <c r="F126" s="60"/>
      <c r="G126" s="43"/>
      <c r="H126" s="44"/>
      <c r="I126" s="82"/>
      <c r="J126" s="83"/>
      <c r="K126" s="86"/>
      <c r="L126" s="85"/>
      <c r="M126" s="45"/>
      <c r="N126" s="46" t="str">
        <f t="shared" si="17"/>
        <v xml:space="preserve"> </v>
      </c>
      <c r="O126" s="47"/>
      <c r="P126" s="48"/>
      <c r="Q126" s="49"/>
    </row>
    <row r="127" spans="1:17" ht="15" customHeight="1" x14ac:dyDescent="0.15">
      <c r="A127" s="12" t="str">
        <f>UPPER(TEXT((A1+5),"mmmm"))</f>
        <v>SEPTEMBRE</v>
      </c>
      <c r="B127" s="13" t="str">
        <f t="shared" si="15"/>
        <v/>
      </c>
      <c r="C127" s="14">
        <f t="shared" si="16"/>
        <v>45913</v>
      </c>
      <c r="D127" s="40"/>
      <c r="E127" s="41"/>
      <c r="F127" s="60"/>
      <c r="G127" s="43"/>
      <c r="H127" s="44"/>
      <c r="I127" s="82"/>
      <c r="J127" s="83"/>
      <c r="K127" s="86"/>
      <c r="L127" s="85"/>
      <c r="M127" s="45"/>
      <c r="N127" s="46" t="str">
        <f t="shared" si="17"/>
        <v xml:space="preserve"> </v>
      </c>
      <c r="O127" s="47"/>
      <c r="P127" s="48"/>
      <c r="Q127" s="49"/>
    </row>
    <row r="128" spans="1:17" ht="15" customHeight="1" thickBot="1" x14ac:dyDescent="0.2">
      <c r="A128" s="17"/>
      <c r="B128" s="17" t="str">
        <f>IF(ISBLANK(K128),"",K128)</f>
        <v/>
      </c>
      <c r="C128" s="17"/>
      <c r="D128" s="51"/>
      <c r="E128" s="52"/>
      <c r="F128" s="53"/>
      <c r="G128" s="54"/>
      <c r="H128" s="54"/>
      <c r="I128" s="87"/>
      <c r="J128" s="88"/>
      <c r="K128" s="89"/>
      <c r="L128" s="90"/>
      <c r="M128" s="55"/>
      <c r="N128" s="56"/>
      <c r="O128" s="57"/>
      <c r="P128" s="58"/>
      <c r="Q128" s="59"/>
    </row>
    <row r="129" spans="1:17" ht="15" customHeight="1" x14ac:dyDescent="0.15">
      <c r="A129" s="11"/>
      <c r="B129" s="11" t="str">
        <f>IF(ISBLANK(K129),"",K129)</f>
        <v/>
      </c>
      <c r="C129" s="11"/>
      <c r="D129" s="31"/>
      <c r="E129" s="32"/>
      <c r="F129" s="33"/>
      <c r="G129" s="34"/>
      <c r="H129" s="34"/>
      <c r="I129" s="78"/>
      <c r="J129" s="79"/>
      <c r="K129" s="80"/>
      <c r="L129" s="81"/>
      <c r="M129" s="35"/>
      <c r="N129" s="36"/>
      <c r="O129" s="37"/>
      <c r="P129" s="38"/>
      <c r="Q129" s="39"/>
    </row>
    <row r="130" spans="1:17" ht="15" customHeight="1" x14ac:dyDescent="0.15">
      <c r="A130" s="12" t="str">
        <f>UPPER(TEXT((A1+6),"jjjj"))</f>
        <v>DIMANCHE</v>
      </c>
      <c r="B130" s="13" t="str">
        <f>IF(ISBLANK(K130),"",K130)</f>
        <v/>
      </c>
      <c r="C130" s="14">
        <f>$A$138</f>
        <v>45914</v>
      </c>
      <c r="D130" s="40"/>
      <c r="E130" s="41"/>
      <c r="F130" s="60"/>
      <c r="G130" s="43"/>
      <c r="H130" s="44"/>
      <c r="I130" s="82"/>
      <c r="J130" s="83"/>
      <c r="K130" s="86"/>
      <c r="L130" s="85"/>
      <c r="M130" s="45"/>
      <c r="N130" s="46" t="str">
        <f>IF(O130=""," ","COLIS PRÊT CDG")</f>
        <v xml:space="preserve"> </v>
      </c>
      <c r="O130" s="47"/>
      <c r="P130" s="48"/>
      <c r="Q130" s="49"/>
    </row>
    <row r="131" spans="1:17" ht="15" customHeight="1" x14ac:dyDescent="0.15">
      <c r="A131" s="15"/>
      <c r="B131" s="13" t="str">
        <f t="shared" ref="B131:B147" si="18">IF(ISBLANK(K131),"",K131)</f>
        <v/>
      </c>
      <c r="C131" s="14">
        <f t="shared" ref="C131:C148" si="19">$A$138</f>
        <v>45914</v>
      </c>
      <c r="D131" s="40"/>
      <c r="E131" s="41"/>
      <c r="F131" s="60"/>
      <c r="G131" s="43"/>
      <c r="H131" s="44"/>
      <c r="I131" s="82"/>
      <c r="J131" s="83"/>
      <c r="K131" s="86"/>
      <c r="L131" s="85"/>
      <c r="M131" s="45"/>
      <c r="N131" s="46" t="str">
        <f t="shared" ref="N131:N148" si="20">IF(O131=""," ","COLIS PRÊT CDG")</f>
        <v xml:space="preserve"> </v>
      </c>
      <c r="O131" s="47"/>
      <c r="P131" s="48"/>
      <c r="Q131" s="49"/>
    </row>
    <row r="132" spans="1:17" ht="15" customHeight="1" x14ac:dyDescent="0.15">
      <c r="A132" s="15"/>
      <c r="B132" s="13" t="str">
        <f t="shared" si="18"/>
        <v/>
      </c>
      <c r="C132" s="14">
        <f t="shared" si="19"/>
        <v>45914</v>
      </c>
      <c r="D132" s="40"/>
      <c r="E132" s="41"/>
      <c r="F132" s="60"/>
      <c r="G132" s="43"/>
      <c r="H132" s="44"/>
      <c r="I132" s="82"/>
      <c r="J132" s="83"/>
      <c r="K132" s="86"/>
      <c r="L132" s="85"/>
      <c r="M132" s="45"/>
      <c r="N132" s="46" t="str">
        <f t="shared" si="20"/>
        <v xml:space="preserve"> </v>
      </c>
      <c r="O132" s="47"/>
      <c r="P132" s="48"/>
      <c r="Q132" s="49"/>
    </row>
    <row r="133" spans="1:17" ht="15" customHeight="1" x14ac:dyDescent="0.15">
      <c r="A133" s="15"/>
      <c r="B133" s="13" t="str">
        <f t="shared" si="18"/>
        <v/>
      </c>
      <c r="C133" s="14">
        <f t="shared" si="19"/>
        <v>45914</v>
      </c>
      <c r="D133" s="40"/>
      <c r="E133" s="41"/>
      <c r="F133" s="60"/>
      <c r="G133" s="43"/>
      <c r="H133" s="44"/>
      <c r="I133" s="82"/>
      <c r="J133" s="83"/>
      <c r="K133" s="86"/>
      <c r="L133" s="85"/>
      <c r="M133" s="45"/>
      <c r="N133" s="46" t="str">
        <f t="shared" si="20"/>
        <v xml:space="preserve"> </v>
      </c>
      <c r="O133" s="47"/>
      <c r="P133" s="48"/>
      <c r="Q133" s="49"/>
    </row>
    <row r="134" spans="1:17" ht="15" customHeight="1" x14ac:dyDescent="0.15">
      <c r="A134" s="15"/>
      <c r="B134" s="13" t="str">
        <f t="shared" si="18"/>
        <v/>
      </c>
      <c r="C134" s="14">
        <f t="shared" si="19"/>
        <v>45914</v>
      </c>
      <c r="D134" s="40"/>
      <c r="E134" s="41"/>
      <c r="F134" s="60"/>
      <c r="G134" s="43"/>
      <c r="H134" s="44"/>
      <c r="I134" s="82"/>
      <c r="J134" s="83"/>
      <c r="K134" s="86"/>
      <c r="L134" s="85"/>
      <c r="M134" s="45"/>
      <c r="N134" s="46" t="str">
        <f t="shared" si="20"/>
        <v xml:space="preserve"> </v>
      </c>
      <c r="O134" s="47"/>
      <c r="P134" s="48"/>
      <c r="Q134" s="49"/>
    </row>
    <row r="135" spans="1:17" ht="15" customHeight="1" x14ac:dyDescent="0.15">
      <c r="A135" s="15"/>
      <c r="B135" s="13" t="str">
        <f t="shared" si="18"/>
        <v/>
      </c>
      <c r="C135" s="14">
        <f t="shared" si="19"/>
        <v>45914</v>
      </c>
      <c r="D135" s="40"/>
      <c r="E135" s="41"/>
      <c r="F135" s="60"/>
      <c r="G135" s="43"/>
      <c r="H135" s="44"/>
      <c r="I135" s="82"/>
      <c r="J135" s="83"/>
      <c r="K135" s="86"/>
      <c r="L135" s="85"/>
      <c r="M135" s="45"/>
      <c r="N135" s="46" t="str">
        <f t="shared" si="20"/>
        <v xml:space="preserve"> </v>
      </c>
      <c r="O135" s="47"/>
      <c r="P135" s="48"/>
      <c r="Q135" s="49"/>
    </row>
    <row r="136" spans="1:17" ht="15" customHeight="1" x14ac:dyDescent="0.15">
      <c r="A136" s="15"/>
      <c r="B136" s="13" t="str">
        <f t="shared" si="18"/>
        <v/>
      </c>
      <c r="C136" s="14">
        <f t="shared" si="19"/>
        <v>45914</v>
      </c>
      <c r="D136" s="40"/>
      <c r="E136" s="41"/>
      <c r="F136" s="60"/>
      <c r="G136" s="43"/>
      <c r="H136" s="44"/>
      <c r="I136" s="82"/>
      <c r="J136" s="83"/>
      <c r="K136" s="86"/>
      <c r="L136" s="85"/>
      <c r="M136" s="45"/>
      <c r="N136" s="46" t="str">
        <f t="shared" si="20"/>
        <v xml:space="preserve"> </v>
      </c>
      <c r="O136" s="47"/>
      <c r="P136" s="48"/>
      <c r="Q136" s="49"/>
    </row>
    <row r="137" spans="1:17" ht="15" customHeight="1" x14ac:dyDescent="0.15">
      <c r="A137" s="15"/>
      <c r="B137" s="13" t="str">
        <f t="shared" si="18"/>
        <v/>
      </c>
      <c r="C137" s="14">
        <f t="shared" si="19"/>
        <v>45914</v>
      </c>
      <c r="D137" s="40"/>
      <c r="E137" s="41"/>
      <c r="F137" s="60"/>
      <c r="G137" s="43"/>
      <c r="H137" s="44"/>
      <c r="I137" s="82"/>
      <c r="J137" s="83"/>
      <c r="K137" s="86"/>
      <c r="L137" s="85"/>
      <c r="M137" s="45"/>
      <c r="N137" s="46" t="str">
        <f t="shared" si="20"/>
        <v xml:space="preserve"> </v>
      </c>
      <c r="O137" s="47"/>
      <c r="P137" s="48"/>
      <c r="Q137" s="49"/>
    </row>
    <row r="138" spans="1:17" ht="15" customHeight="1" x14ac:dyDescent="0.15">
      <c r="A138" s="16">
        <f>A1+6</f>
        <v>45914</v>
      </c>
      <c r="B138" s="13" t="str">
        <f t="shared" si="18"/>
        <v/>
      </c>
      <c r="C138" s="14">
        <f t="shared" si="19"/>
        <v>45914</v>
      </c>
      <c r="D138" s="40"/>
      <c r="E138" s="41"/>
      <c r="F138" s="60"/>
      <c r="G138" s="43"/>
      <c r="H138" s="44"/>
      <c r="I138" s="82"/>
      <c r="J138" s="83"/>
      <c r="K138" s="86"/>
      <c r="L138" s="85"/>
      <c r="M138" s="45"/>
      <c r="N138" s="46" t="str">
        <f t="shared" si="20"/>
        <v xml:space="preserve"> </v>
      </c>
      <c r="O138" s="47"/>
      <c r="P138" s="48"/>
      <c r="Q138" s="49"/>
    </row>
    <row r="139" spans="1:17" ht="15" customHeight="1" x14ac:dyDescent="0.15">
      <c r="A139" s="15"/>
      <c r="B139" s="13" t="str">
        <f t="shared" si="18"/>
        <v/>
      </c>
      <c r="C139" s="14">
        <f t="shared" si="19"/>
        <v>45914</v>
      </c>
      <c r="D139" s="40"/>
      <c r="E139" s="41"/>
      <c r="F139" s="60"/>
      <c r="G139" s="43"/>
      <c r="H139" s="44"/>
      <c r="I139" s="82"/>
      <c r="J139" s="83"/>
      <c r="K139" s="86"/>
      <c r="L139" s="85"/>
      <c r="M139" s="45"/>
      <c r="N139" s="46" t="str">
        <f t="shared" si="20"/>
        <v xml:space="preserve"> </v>
      </c>
      <c r="O139" s="47"/>
      <c r="P139" s="48"/>
      <c r="Q139" s="49"/>
    </row>
    <row r="140" spans="1:17" ht="15" customHeight="1" x14ac:dyDescent="0.15">
      <c r="A140" s="15"/>
      <c r="B140" s="13" t="str">
        <f t="shared" si="18"/>
        <v/>
      </c>
      <c r="C140" s="14">
        <f t="shared" si="19"/>
        <v>45914</v>
      </c>
      <c r="D140" s="40"/>
      <c r="E140" s="41"/>
      <c r="F140" s="60"/>
      <c r="G140" s="43"/>
      <c r="H140" s="44"/>
      <c r="I140" s="82"/>
      <c r="J140" s="83"/>
      <c r="K140" s="86"/>
      <c r="L140" s="85"/>
      <c r="M140" s="45"/>
      <c r="N140" s="46" t="str">
        <f t="shared" si="20"/>
        <v xml:space="preserve"> </v>
      </c>
      <c r="O140" s="47"/>
      <c r="P140" s="48"/>
      <c r="Q140" s="49"/>
    </row>
    <row r="141" spans="1:17" ht="15" customHeight="1" x14ac:dyDescent="0.15">
      <c r="A141" s="15"/>
      <c r="B141" s="13" t="str">
        <f t="shared" si="18"/>
        <v/>
      </c>
      <c r="C141" s="14">
        <f t="shared" si="19"/>
        <v>45914</v>
      </c>
      <c r="D141" s="40"/>
      <c r="E141" s="41"/>
      <c r="F141" s="60"/>
      <c r="G141" s="43"/>
      <c r="H141" s="44"/>
      <c r="I141" s="82"/>
      <c r="J141" s="83"/>
      <c r="K141" s="86"/>
      <c r="L141" s="85"/>
      <c r="M141" s="45"/>
      <c r="N141" s="46" t="str">
        <f t="shared" si="20"/>
        <v xml:space="preserve"> </v>
      </c>
      <c r="O141" s="47"/>
      <c r="P141" s="48"/>
      <c r="Q141" s="49"/>
    </row>
    <row r="142" spans="1:17" ht="15" customHeight="1" x14ac:dyDescent="0.15">
      <c r="A142" s="15"/>
      <c r="B142" s="13" t="str">
        <f t="shared" si="18"/>
        <v/>
      </c>
      <c r="C142" s="14">
        <f t="shared" si="19"/>
        <v>45914</v>
      </c>
      <c r="D142" s="40"/>
      <c r="E142" s="41"/>
      <c r="F142" s="60"/>
      <c r="G142" s="43"/>
      <c r="H142" s="44"/>
      <c r="I142" s="82"/>
      <c r="J142" s="83"/>
      <c r="K142" s="86"/>
      <c r="L142" s="85"/>
      <c r="M142" s="45"/>
      <c r="N142" s="46" t="str">
        <f t="shared" si="20"/>
        <v xml:space="preserve"> </v>
      </c>
      <c r="O142" s="47"/>
      <c r="P142" s="48"/>
      <c r="Q142" s="49"/>
    </row>
    <row r="143" spans="1:17" ht="15" customHeight="1" x14ac:dyDescent="0.15">
      <c r="A143" s="15"/>
      <c r="B143" s="13" t="str">
        <f t="shared" si="18"/>
        <v/>
      </c>
      <c r="C143" s="14">
        <f t="shared" si="19"/>
        <v>45914</v>
      </c>
      <c r="D143" s="40"/>
      <c r="E143" s="41"/>
      <c r="F143" s="60"/>
      <c r="G143" s="43"/>
      <c r="H143" s="44"/>
      <c r="I143" s="82"/>
      <c r="J143" s="83"/>
      <c r="K143" s="86"/>
      <c r="L143" s="85"/>
      <c r="M143" s="45"/>
      <c r="N143" s="46" t="str">
        <f t="shared" si="20"/>
        <v xml:space="preserve"> </v>
      </c>
      <c r="O143" s="47"/>
      <c r="P143" s="48"/>
      <c r="Q143" s="49"/>
    </row>
    <row r="144" spans="1:17" ht="15" customHeight="1" x14ac:dyDescent="0.15">
      <c r="A144" s="15"/>
      <c r="B144" s="13" t="str">
        <f t="shared" si="18"/>
        <v/>
      </c>
      <c r="C144" s="14">
        <f t="shared" si="19"/>
        <v>45914</v>
      </c>
      <c r="D144" s="40"/>
      <c r="E144" s="41"/>
      <c r="F144" s="60"/>
      <c r="G144" s="43"/>
      <c r="H144" s="44"/>
      <c r="I144" s="82"/>
      <c r="J144" s="83"/>
      <c r="K144" s="86"/>
      <c r="L144" s="85"/>
      <c r="M144" s="45"/>
      <c r="N144" s="46" t="str">
        <f t="shared" si="20"/>
        <v xml:space="preserve"> </v>
      </c>
      <c r="O144" s="47"/>
      <c r="P144" s="48"/>
      <c r="Q144" s="49"/>
    </row>
    <row r="145" spans="1:17" ht="15" customHeight="1" x14ac:dyDescent="0.15">
      <c r="A145" s="15"/>
      <c r="B145" s="13" t="str">
        <f t="shared" si="18"/>
        <v/>
      </c>
      <c r="C145" s="14">
        <f t="shared" si="19"/>
        <v>45914</v>
      </c>
      <c r="D145" s="40"/>
      <c r="E145" s="41"/>
      <c r="F145" s="60"/>
      <c r="G145" s="43"/>
      <c r="H145" s="44"/>
      <c r="I145" s="82"/>
      <c r="J145" s="83"/>
      <c r="K145" s="86"/>
      <c r="L145" s="85"/>
      <c r="M145" s="45"/>
      <c r="N145" s="46" t="str">
        <f t="shared" si="20"/>
        <v xml:space="preserve"> </v>
      </c>
      <c r="O145" s="47"/>
      <c r="P145" s="48"/>
      <c r="Q145" s="49"/>
    </row>
    <row r="146" spans="1:17" ht="15" customHeight="1" x14ac:dyDescent="0.15">
      <c r="A146" s="15"/>
      <c r="B146" s="13" t="str">
        <f t="shared" si="18"/>
        <v/>
      </c>
      <c r="C146" s="14">
        <f t="shared" si="19"/>
        <v>45914</v>
      </c>
      <c r="D146" s="40"/>
      <c r="E146" s="41"/>
      <c r="F146" s="60"/>
      <c r="G146" s="43"/>
      <c r="H146" s="44"/>
      <c r="I146" s="82"/>
      <c r="J146" s="83"/>
      <c r="K146" s="86"/>
      <c r="L146" s="85"/>
      <c r="M146" s="45"/>
      <c r="N146" s="46" t="str">
        <f t="shared" si="20"/>
        <v xml:space="preserve"> </v>
      </c>
      <c r="O146" s="47"/>
      <c r="P146" s="48"/>
      <c r="Q146" s="49"/>
    </row>
    <row r="147" spans="1:17" ht="15" customHeight="1" x14ac:dyDescent="0.15">
      <c r="A147" s="50"/>
      <c r="B147" s="13" t="str">
        <f t="shared" si="18"/>
        <v/>
      </c>
      <c r="C147" s="14">
        <f t="shared" si="19"/>
        <v>45914</v>
      </c>
      <c r="D147" s="40"/>
      <c r="E147" s="41"/>
      <c r="F147" s="60"/>
      <c r="G147" s="43"/>
      <c r="H147" s="44"/>
      <c r="I147" s="82"/>
      <c r="J147" s="83"/>
      <c r="K147" s="86"/>
      <c r="L147" s="85"/>
      <c r="M147" s="45"/>
      <c r="N147" s="46" t="str">
        <f t="shared" si="20"/>
        <v xml:space="preserve"> </v>
      </c>
      <c r="O147" s="47"/>
      <c r="P147" s="48"/>
      <c r="Q147" s="49"/>
    </row>
    <row r="148" spans="1:17" ht="15" customHeight="1" thickBot="1" x14ac:dyDescent="0.2">
      <c r="A148" s="12" t="str">
        <f>UPPER(TEXT((A1+6),"mmmm"))</f>
        <v>SEPTEMBRE</v>
      </c>
      <c r="B148" s="13" t="str">
        <f>IF(ISBLANK(K148),"",K148)</f>
        <v/>
      </c>
      <c r="C148" s="14">
        <f t="shared" si="19"/>
        <v>45914</v>
      </c>
      <c r="D148" s="40"/>
      <c r="E148" s="41"/>
      <c r="F148" s="60"/>
      <c r="G148" s="43"/>
      <c r="H148" s="44"/>
      <c r="I148" s="82"/>
      <c r="J148" s="91"/>
      <c r="K148" s="92"/>
      <c r="L148" s="93"/>
      <c r="M148" s="45"/>
      <c r="N148" s="46" t="str">
        <f t="shared" si="20"/>
        <v xml:space="preserve"> </v>
      </c>
      <c r="O148" s="47"/>
      <c r="P148" s="48"/>
      <c r="Q148" s="49"/>
    </row>
    <row r="149" spans="1:17" ht="15" customHeight="1" thickBot="1" x14ac:dyDescent="0.2">
      <c r="A149" s="18"/>
      <c r="B149" s="18" t="str">
        <f>IF(ISBLANK(K149),"",K149)</f>
        <v/>
      </c>
      <c r="C149" s="18"/>
      <c r="D149" s="61"/>
      <c r="E149" s="62"/>
      <c r="F149" s="63"/>
      <c r="G149" s="64"/>
      <c r="H149" s="64"/>
      <c r="I149" s="65"/>
      <c r="J149" s="94" t="s">
        <v>13</v>
      </c>
      <c r="K149" s="95"/>
      <c r="L149" s="66">
        <f>SUM(L3:L148)</f>
        <v>0</v>
      </c>
      <c r="M149" s="67"/>
      <c r="N149" s="68"/>
      <c r="O149" s="69"/>
      <c r="P149" s="70"/>
      <c r="Q149" s="71"/>
    </row>
    <row r="150" spans="1:17" x14ac:dyDescent="0.15">
      <c r="J150" s="73"/>
      <c r="K150" s="30"/>
      <c r="L150" s="30"/>
      <c r="M150" s="30"/>
    </row>
  </sheetData>
  <dataConsolidate/>
  <mergeCells count="1">
    <mergeCell ref="J149:K149"/>
  </mergeCells>
  <conditionalFormatting sqref="H4:H149">
    <cfRule type="expression" dxfId="2" priority="24" stopIfTrue="1">
      <formula>MID(H4,5,3)&lt;&gt;G4</formula>
    </cfRule>
  </conditionalFormatting>
  <conditionalFormatting sqref="P4:P149">
    <cfRule type="expression" dxfId="1" priority="2">
      <formula>P4="ASF"</formula>
    </cfRule>
  </conditionalFormatting>
  <conditionalFormatting sqref="Q4:Q149">
    <cfRule type="expression" dxfId="0" priority="1" stopIfTrue="1">
      <formula>P4="ASF"</formula>
    </cfRule>
  </conditionalFormatting>
  <dataValidations count="1">
    <dataValidation type="list" allowBlank="1" showInputMessage="1" showErrorMessage="1" sqref="F23 D3:D149" xr:uid="{00000000-0002-0000-0000-000000000000}">
      <formula1>#REF!</formula1>
    </dataValidation>
  </dataValidations>
  <pageMargins left="0.25" right="0.25" top="0.75" bottom="0.75" header="0.3" footer="0.3"/>
  <pageSetup paperSize="9" scale="35" orientation="portrait" r:id="rId1"/>
  <headerFooter>
    <oddHeader>&amp;C&amp;F</oddHeader>
    <oddFooter>&amp;LMESSAGERIE MEDICALE&amp;C&amp;"Arial,Gras"Légende :&amp;KFFFF00 &amp;"Arial,Normal"&amp;K000000jaune = vol effectué_x000D_                 rouge = vol annulé&amp;R&amp;8ASFmmprég.xls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1394-3553-CF45-8EA2-81005FDC31C8}">
  <dimension ref="A1:Q2"/>
  <sheetViews>
    <sheetView tabSelected="1" workbookViewId="0">
      <selection activeCell="C9" sqref="C9"/>
    </sheetView>
  </sheetViews>
  <sheetFormatPr baseColWidth="10" defaultRowHeight="13" x14ac:dyDescent="0.15"/>
  <sheetData>
    <row r="1" spans="1:17" ht="17" thickBot="1" x14ac:dyDescent="0.2">
      <c r="A1" s="19">
        <v>45908</v>
      </c>
      <c r="B1" s="20"/>
      <c r="C1" s="20"/>
      <c r="D1" s="20"/>
      <c r="E1" s="20"/>
      <c r="F1" s="21" t="s">
        <v>0</v>
      </c>
      <c r="G1" s="22"/>
      <c r="H1" s="23">
        <f>_xlfn.ISOWEEKNUM(A12)</f>
        <v>52</v>
      </c>
      <c r="I1" s="20"/>
      <c r="J1" s="24" t="s">
        <v>1</v>
      </c>
      <c r="K1" s="25">
        <f>A75-7</f>
        <v>-7</v>
      </c>
      <c r="L1" s="26"/>
      <c r="M1" s="27" t="s">
        <v>2</v>
      </c>
      <c r="N1" s="28" t="s">
        <v>3</v>
      </c>
      <c r="O1" s="28"/>
      <c r="P1" s="21" t="s">
        <v>4</v>
      </c>
      <c r="Q1" s="23">
        <v>1</v>
      </c>
    </row>
    <row r="2" spans="1:17" ht="51" x14ac:dyDescent="0.15">
      <c r="A2" s="1" t="s">
        <v>5</v>
      </c>
      <c r="B2" s="1" t="s">
        <v>14</v>
      </c>
      <c r="C2" s="1" t="s">
        <v>15</v>
      </c>
      <c r="D2" s="1" t="s">
        <v>6</v>
      </c>
      <c r="E2" s="2" t="s">
        <v>7</v>
      </c>
      <c r="F2" s="3" t="s">
        <v>8</v>
      </c>
      <c r="G2" s="4" t="s">
        <v>9</v>
      </c>
      <c r="H2" s="4" t="s">
        <v>10</v>
      </c>
      <c r="I2" s="5" t="s">
        <v>16</v>
      </c>
      <c r="J2" s="5" t="s">
        <v>17</v>
      </c>
      <c r="K2" s="5" t="s">
        <v>18</v>
      </c>
      <c r="L2" s="6" t="s">
        <v>19</v>
      </c>
      <c r="M2" s="7" t="s">
        <v>20</v>
      </c>
      <c r="N2" s="8" t="s">
        <v>21</v>
      </c>
      <c r="O2" s="9" t="s">
        <v>22</v>
      </c>
      <c r="P2" s="4" t="s">
        <v>11</v>
      </c>
      <c r="Q2" s="1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515D3908D5943BF62E9ECE9AF4B77" ma:contentTypeVersion="15" ma:contentTypeDescription="Crée un document." ma:contentTypeScope="" ma:versionID="7cbc1829979a34bc78a48728cf6026c2">
  <xsd:schema xmlns:xsd="http://www.w3.org/2001/XMLSchema" xmlns:xs="http://www.w3.org/2001/XMLSchema" xmlns:p="http://schemas.microsoft.com/office/2006/metadata/properties" xmlns:ns3="ed327bfa-e703-4379-b71b-d364fa6d336b" xmlns:ns4="4ed566a4-6bf4-464e-ae95-b7584367c7f5" targetNamespace="http://schemas.microsoft.com/office/2006/metadata/properties" ma:root="true" ma:fieldsID="bfc5c5bca294fa8c2fdd519301273a2b" ns3:_="" ns4:_="">
    <xsd:import namespace="ed327bfa-e703-4379-b71b-d364fa6d336b"/>
    <xsd:import namespace="4ed566a4-6bf4-464e-ae95-b7584367c7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27bfa-e703-4379-b71b-d364fa6d3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566a4-6bf4-464e-ae95-b7584367c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327bfa-e703-4379-b71b-d364fa6d336b" xsi:nil="true"/>
  </documentManagement>
</p:properties>
</file>

<file path=customXml/itemProps1.xml><?xml version="1.0" encoding="utf-8"?>
<ds:datastoreItem xmlns:ds="http://schemas.openxmlformats.org/officeDocument/2006/customXml" ds:itemID="{9E3F3880-9ED3-4942-8ED6-AC4C1DBB4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27bfa-e703-4379-b71b-d364fa6d336b"/>
    <ds:schemaRef ds:uri="4ed566a4-6bf4-464e-ae95-b7584367c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CF6FBF-6D56-4B2B-8CB7-994B69A97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9EA49-0E98-490C-AE22-4E30ACB35FDF}">
  <ds:schemaRefs>
    <ds:schemaRef ds:uri="http://schemas.microsoft.com/office/2006/metadata/properties"/>
    <ds:schemaRef ds:uri="http://schemas.microsoft.com/office/infopath/2007/PartnerControls"/>
    <ds:schemaRef ds:uri="ed327bfa-e703-4379-b71b-d364fa6d33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Planning SXX</vt:lpstr>
      <vt:lpstr>data</vt:lpstr>
      <vt:lpstr>'Planning SXX'!Zone_d_impression</vt:lpstr>
    </vt:vector>
  </TitlesOfParts>
  <Manager/>
  <Company>Perso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</dc:creator>
  <cp:keywords/>
  <dc:description/>
  <cp:lastModifiedBy>Edouard Gonnu</cp:lastModifiedBy>
  <cp:revision/>
  <dcterms:created xsi:type="dcterms:W3CDTF">2011-08-26T16:18:18Z</dcterms:created>
  <dcterms:modified xsi:type="dcterms:W3CDTF">2025-11-27T10:38:02Z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0x0101007F4515D3908D5943BF62E9ECE9AF4B77</vt:lpwstr>
  </property>
</Properties>
</file>